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ing" sheetId="1" r:id="rId5"/>
    <sheet state="visible" name="Preventivi" sheetId="2" r:id="rId6"/>
    <sheet state="visible" name="Pricing Calculator" sheetId="3" r:id="rId7"/>
    <sheet state="visible" name="Pricing Policies" sheetId="4" r:id="rId8"/>
    <sheet state="visible" name="Markups" sheetId="5" r:id="rId9"/>
    <sheet state="visible" name="Base Operating Costs" sheetId="6" r:id="rId10"/>
    <sheet state="visible" name="Vehicle Assumptions" sheetId="7" r:id="rId11"/>
    <sheet state="visible" name="Annual Fixed Expenses" sheetId="8" r:id="rId12"/>
    <sheet state="hidden" name="Attenuazione" sheetId="9" r:id="rId13"/>
    <sheet state="visible" name="Tour List" sheetId="10" r:id="rId14"/>
    <sheet state="hidden" name="Copia di Tour List" sheetId="11" r:id="rId15"/>
    <sheet state="visible" name="Settings" sheetId="12" r:id="rId16"/>
    <sheet state="visible" name="Vehicle Depreciation" sheetId="13" r:id="rId17"/>
  </sheets>
  <definedNames>
    <definedName name="_xlchart.v1.0">#REF!</definedName>
    <definedName localSheetId="10" name="_xlchart.v1.1">'Copia di Tour List'!$BA$5:$BA$45</definedName>
    <definedName name="_xlchart.v1.1">#REF!</definedName>
    <definedName localSheetId="10" name="_xlchart.v1.0">'Copia di Tour List'!$BA$3</definedName>
  </definedNames>
  <calcPr/>
</workbook>
</file>

<file path=xl/sharedStrings.xml><?xml version="1.0" encoding="utf-8"?>
<sst xmlns="http://schemas.openxmlformats.org/spreadsheetml/2006/main" count="1435" uniqueCount="511">
  <si>
    <t>NCC Pricing Calculator - v.1.9</t>
  </si>
  <si>
    <t>Release date</t>
  </si>
  <si>
    <t>SERVICE DETAILS</t>
  </si>
  <si>
    <t>Personalizza dati</t>
  </si>
  <si>
    <t>Dati utilizzati</t>
  </si>
  <si>
    <t>Dati Default</t>
  </si>
  <si>
    <t>Destinazione</t>
  </si>
  <si>
    <t>Chianti Classico - TOUR FD</t>
  </si>
  <si>
    <t>Tipo</t>
  </si>
  <si>
    <t>TOUR FD</t>
  </si>
  <si>
    <t>Kilometraggio</t>
  </si>
  <si>
    <t>Extra Km se non si parte/arriva da Siena</t>
  </si>
  <si>
    <t>Durata del servizio (ore)</t>
  </si>
  <si>
    <t>Estensione del servizio, con cliente (ore)</t>
  </si>
  <si>
    <t>Ore di spostamento se non si parte/arriva da Siena</t>
  </si>
  <si>
    <t>Toll €</t>
  </si>
  <si>
    <t>Pax (relativo solo alle esperienze)</t>
  </si>
  <si>
    <t>Esperienze (p.p.) solo se presenti</t>
  </si>
  <si>
    <t>PRICING POLICIES</t>
  </si>
  <si>
    <t>Stagionalità</t>
  </si>
  <si>
    <t>Low</t>
  </si>
  <si>
    <t>Riempimento</t>
  </si>
  <si>
    <t>Car (2pax)</t>
  </si>
  <si>
    <t>VAT</t>
  </si>
  <si>
    <t>Card Fees</t>
  </si>
  <si>
    <t>Maggiorazioni (notturno, festivo)</t>
  </si>
  <si>
    <t>Costi trasferta €</t>
  </si>
  <si>
    <t>PRICE</t>
  </si>
  <si>
    <t>Taxable transport</t>
  </si>
  <si>
    <t>Taxable experience</t>
  </si>
  <si>
    <t>Maggiorazione</t>
  </si>
  <si>
    <t>Taxable Price</t>
  </si>
  <si>
    <t>FINAL PRICE</t>
  </si>
  <si>
    <t>USER</t>
  </si>
  <si>
    <t>DATE</t>
  </si>
  <si>
    <t>CLIENTE</t>
  </si>
  <si>
    <t>URL</t>
  </si>
  <si>
    <t>DESTINAZIONE</t>
  </si>
  <si>
    <t>TIPO</t>
  </si>
  <si>
    <t>MILEAGE</t>
  </si>
  <si>
    <t>EXTRA_KM</t>
  </si>
  <si>
    <t>DURATA</t>
  </si>
  <si>
    <t>EXTRA DURATA</t>
  </si>
  <si>
    <t>PEDAGGIO</t>
  </si>
  <si>
    <t>PAX (ESPERIENZE)</t>
  </si>
  <si>
    <t>EXP PER PAX</t>
  </si>
  <si>
    <t>STAGIONE</t>
  </si>
  <si>
    <t>RIEMPIMENTO</t>
  </si>
  <si>
    <t>VAT %</t>
  </si>
  <si>
    <t>CARD FEES %</t>
  </si>
  <si>
    <t>MAGGIORAZIONI</t>
  </si>
  <si>
    <t>TRASFERTA</t>
  </si>
  <si>
    <t>IMPONIBILE</t>
  </si>
  <si>
    <t>VAT €</t>
  </si>
  <si>
    <t>CC FEES €</t>
  </si>
  <si>
    <t>PREZZO FINALE</t>
  </si>
  <si>
    <t>PREZZO CLIENTE</t>
  </si>
  <si>
    <t>% SCONTO</t>
  </si>
  <si>
    <t>SCONTP €</t>
  </si>
  <si>
    <t>DEPOSITO %</t>
  </si>
  <si>
    <t>DEPOSITO IMPONIBILE</t>
  </si>
  <si>
    <t>DEPOSITO FULL</t>
  </si>
  <si>
    <t>SALDO IMPONIBILE</t>
  </si>
  <si>
    <t>SALDO BANCA</t>
  </si>
  <si>
    <t>SALDO CC</t>
  </si>
  <si>
    <t>michelamenegon@gmail.com</t>
  </si>
  <si>
    <t>27 December 2025</t>
  </si>
  <si>
    <t>Ying Goh</t>
  </si>
  <si>
    <t>https://docs.google.com/document/d/1Ux04QH-POEJAv-hxb3j95oA3h9n8WKv9MJtxXn0ebtE/edit?usp=drivesdk</t>
  </si>
  <si>
    <t>TOUR FD+</t>
  </si>
  <si>
    <t>Average</t>
  </si>
  <si>
    <t>Van (3-6 pax)</t>
  </si>
  <si>
    <t>https://docs.google.com/document/d/1q0FuAuMEE6HYeVTbUiYiI4EQedN6oX7q8zDc-pcnlT8/edit?usp=drivesdk</t>
  </si>
  <si>
    <t>28 December 2025</t>
  </si>
  <si>
    <t>Cliente Argiano 29/12/25</t>
  </si>
  <si>
    <t>https://docs.google.com/document/d/1RGpvI1GW4-sqj5h_f1y2EwakEbhIjrpGtCmL9zMiFPs/edit?usp=drivesdk</t>
  </si>
  <si>
    <t>Full (7-8 pax)</t>
  </si>
  <si>
    <t>Julia Guest</t>
  </si>
  <si>
    <t>https://docs.google.com/document/d/1iA16qTkmkjjvfHaj-o93aGIx5qJlH1VgVYsW8cSI1VE/edit?usp=drivesdk</t>
  </si>
  <si>
    <t>TRF</t>
  </si>
  <si>
    <t>High</t>
  </si>
  <si>
    <t>https://docs.google.com/document/d/1S4-slFR-Ebpu_LRa3sWrLp3NJ-mvyQY8VY6tioiOJvc/edit?usp=drivesdk</t>
  </si>
  <si>
    <t>29 December 2025</t>
  </si>
  <si>
    <t>Tina Benton</t>
  </si>
  <si>
    <t>https://docs.google.com/document/d/1CkTZU-UbISqKAYc0hACPHnbE8KHroVRAOa6x2v5dHNA/edit?usp=drivesdk</t>
  </si>
  <si>
    <t>Vilena Tjurina</t>
  </si>
  <si>
    <t>https://docs.google.com/document/d/1sx7zVJ8b58Jf3-o24PjRwoyKm2_RuWOYEthAJ19jkpM/edit?usp=drivesdk</t>
  </si>
  <si>
    <t>https://docs.google.com/document/d/1jUDIKng0eiTwTryp9EK9pQMEcxi-WjA0Azj1wP94rYc/edit?usp=drivesdk</t>
  </si>
  <si>
    <t>30 December 2025</t>
  </si>
  <si>
    <t>Cliente Athena ??</t>
  </si>
  <si>
    <t>https://docs.google.com/document/d/1Cn7x0-NlgoSpyQjgedYwgLnUWJjfGBJ0HoSy4us4D9g/edit?usp=drivesdk</t>
  </si>
  <si>
    <t>https://docs.google.com/document/d/1HgrHJl9zE0qWfFUcOOBGptsSO4wrGgiNNDvjuoWCx2o/edit?usp=drivesdk</t>
  </si>
  <si>
    <t>TOUR HD</t>
  </si>
  <si>
    <t>https://docs.google.com/document/d/1eXSLJ3db5H-qixd9hc5aDCnzI0JlbPoy-FoB3KvdvMU/edit?usp=drivesdk</t>
  </si>
  <si>
    <t>https://docs.google.com/document/d/1Hn_4YKUIkEaY-YafIbHU_biHQbv0eSJWhlORRoxGooY/edit?usp=drivesdk</t>
  </si>
  <si>
    <t>31 December 2025</t>
  </si>
  <si>
    <t>Wilson Brazil</t>
  </si>
  <si>
    <t>https://docs.google.com/document/d/16uqc7Up-sLiT7DGiFcMnRMhDxau1EmvQz0QkYS2JplA/edit?usp=drivesdk</t>
  </si>
  <si>
    <t>Jim Winkler</t>
  </si>
  <si>
    <t>https://docs.google.com/document/d/1HMxBE_xi-Geic86RU16VXYxrloaITg9s-608ogf9Y3w/edit?usp=drivesdk</t>
  </si>
  <si>
    <t>https://docs.google.com/document/d/1Gyx934oyxLFXdKuvmYdJVU5ry97wrg3zzT0cAZX5rAU/edit?usp=drivesdk</t>
  </si>
  <si>
    <t>https://docs.google.com/document/d/1Wm4A-vWybeMF4hygFBmUIk559UXNbh99IkovkgeBVio/edit?usp=drivesdk</t>
  </si>
  <si>
    <t>https://docs.google.com/document/d/1ShEetJKAlcUUl0XYJPbLclbf2ulJnbbcuui48gRY9K4/edit?usp=drivesdk</t>
  </si>
  <si>
    <t>01 January 2026</t>
  </si>
  <si>
    <t>Amy Dickey</t>
  </si>
  <si>
    <t>https://docs.google.com/document/d/1SeafGxO8lhnhCKgd-VQUNqBFpU5jiWr8vcpysSNGr8k/edit?usp=drivesdk</t>
  </si>
  <si>
    <t>Emily Moroney</t>
  </si>
  <si>
    <t>https://docs.google.com/document/d/1qnIHWQ_SS9aQNWDm_g3Ii82qwYP9QZB6-aktSQ0I8xY/edit?usp=drivesdk</t>
  </si>
  <si>
    <t>https://docs.google.com/document/d/1k5oAhsbxVq38MKIeGX6jiSZ3LFEgM7qZ1oRZM60xKiA/edit?usp=drivesdk</t>
  </si>
  <si>
    <t>04 January 2026</t>
  </si>
  <si>
    <t>Claudine</t>
  </si>
  <si>
    <t>https://docs.google.com/document/d/1gH-oAndu6X0uN_DZeB6r1NO4Xs3Zd6PalM8FOX_812A/edit?usp=drivesdk</t>
  </si>
  <si>
    <t>Client Athena</t>
  </si>
  <si>
    <t>https://docs.google.com/document/d/1qvr4JFJ-CSc8BBvUiqp5MXmzEUelnT15Yb8B_48n61w/edit?usp=drivesdk</t>
  </si>
  <si>
    <t>05 January 2026</t>
  </si>
  <si>
    <t>Suzanne Conley</t>
  </si>
  <si>
    <t>https://docs.google.com/document/d/14An-KTWCesFnSvy8YElBGjuLFKkJl4FDgVTx3UkfwiA/edit?usp=drivesdk</t>
  </si>
  <si>
    <t>https://docs.google.com/document/d/1_flYYrbNfpWai_cBOmH2nZ5rg1aEJ4GKhtZq61rFDo0/edit?usp=drivesdk</t>
  </si>
  <si>
    <t>https://docs.google.com/document/d/1xaW990GKjFWzSD-9DSGFNTPW_Y9blT79T5jRMHCrXA0/edit?usp=drivesdk</t>
  </si>
  <si>
    <t>Karen Harmatuk</t>
  </si>
  <si>
    <t>https://docs.google.com/document/d/1UPVb9WINU5G34QXps8GGig28G21izizL0jmBRrKIrs0/edit?usp=drivesdk</t>
  </si>
  <si>
    <t>Scott Swanstrom</t>
  </si>
  <si>
    <t>https://docs.google.com/document/d/1Ukn6E4sUDQXBfJvkc0xNsjG1RYL_d5HhCMyGRVEUBaM/edit?usp=drivesdk</t>
  </si>
  <si>
    <t>07 January 2026</t>
  </si>
  <si>
    <t>Mel Roth</t>
  </si>
  <si>
    <t>https://docs.google.com/document/d/1122aPVTVzY0ga9gR2zpvvxjl5y4qahQcTJ5Xxo7zg6c/edit?usp=drivesdk</t>
  </si>
  <si>
    <t>https://docs.google.com/document/d/1ttEQOFsn8UC1PCASpUcK19AXoh4mmqk2I4BNnNg-gTc/edit?usp=drivesdk</t>
  </si>
  <si>
    <t xml:space="preserve">Stacy
</t>
  </si>
  <si>
    <t>https://docs.google.com/document/d/1yld9tQ1_kNjybvw0V-5RwO8R15bRYrgTEAMR30Ixg1Y/edit?usp=drivesdk</t>
  </si>
  <si>
    <t xml:space="preserve">Panayiota Costari </t>
  </si>
  <si>
    <t>https://docs.google.com/document/d/12-OelmxSQssdwS-JprYE42fS5HhC_nC0sSbfg2zP8qA/edit?usp=drivesdk</t>
  </si>
  <si>
    <t>Torre del Fuggisole</t>
  </si>
  <si>
    <t>https://docs.google.com/document/d/1lAEPMBilU4jfRCwAP2xiMsxg9FLMwcR4LMjKAgBN08g/edit?usp=drivesdk</t>
  </si>
  <si>
    <t>08 January 2026</t>
  </si>
  <si>
    <t>Signori Baladi</t>
  </si>
  <si>
    <t>https://docs.google.com/document/d/1kgxMne3qdXaf3tNSJQol3f60s1YaG5Q9YaVJGTnUGSc/edit?usp=drivesdk</t>
  </si>
  <si>
    <t>https://docs.google.com/document/d/1dfxSz1zxGuxg-kwqiRW8BC-g8FOB6bq1zivZhdngk0w/edit?usp=drivesdk</t>
  </si>
  <si>
    <t>09 January 2026</t>
  </si>
  <si>
    <t>DEBORAH KOPS</t>
  </si>
  <si>
    <t>https://docs.google.com/document/d/1yqDqXyyuFZrs9o04o8eiZx6VeP8Cl5Codmd9iZFXkxQ/edit?usp=drivesdk</t>
  </si>
  <si>
    <t>https://docs.google.com/document/d/1NIka7xw960RETGMUexilfELq2FC-m9qdE9aLyRhP2pE/edit?usp=drivesdk</t>
  </si>
  <si>
    <t>Teresa Pusley</t>
  </si>
  <si>
    <t>https://docs.google.com/document/d/1WJIayU3LusH_ZBZiHYZYtiqmY4cXSQfOyrzGkV0h9B4/edit?usp=drivesdk</t>
  </si>
  <si>
    <t>https://docs.google.com/document/d/17ZvQxpUKur0v2uA-01cIHg5J1jMpLI_3rnf-msNtP48/edit?usp=drivesdk</t>
  </si>
  <si>
    <t>https://docs.google.com/document/d/1JyKm2xJDFSObNr2NnV8OIEm9RFCdYnvdKyv1eTZxQLw/edit?usp=drivesdk</t>
  </si>
  <si>
    <t>10 January 2026</t>
  </si>
  <si>
    <t>https://docs.google.com/document/d/1krlgdoGz8TTT9tCXxGAonz6ivy-VnQm3hGKC9dI5d1A/edit?usp=drivesdk</t>
  </si>
  <si>
    <t>Firebird</t>
  </si>
  <si>
    <t>https://docs.google.com/document/d/1y4yaHj4ZrPrIatpUnTxqJA15YnATpcUH4hqbqJDlAY0/edit?usp=drivesdk</t>
  </si>
  <si>
    <t>11 January 2026</t>
  </si>
  <si>
    <t>Anila Rayani</t>
  </si>
  <si>
    <t>https://docs.google.com/document/d/1TJkUZYSVRst5b5mQa1vl-cm3iVKWAVDKZ0bx7W1-kpk/edit?usp=drivesdk</t>
  </si>
  <si>
    <t>https://docs.google.com/document/d/1T-kChPPHEl3XSKmbNeo2s5x-zEWyyY-RNM1MaE_838k/edit?usp=drivesdk</t>
  </si>
  <si>
    <t>https://docs.google.com/document/d/1m_IG0tKeo4Nfl7W7D2XITfiSKCQ3JtK8CqMOYXK54cE/edit?usp=drivesdk</t>
  </si>
  <si>
    <t>12 January 2026</t>
  </si>
  <si>
    <t>https://docs.google.com/document/d/17pur8qwdAcqqVMN6YFb8cgHixMycy6A49gUxwvp1Jfs/edit?usp=drivesdk</t>
  </si>
  <si>
    <t>Richard Frostick</t>
  </si>
  <si>
    <t>https://docs.google.com/document/d/1RKP4PibwXEYT1RTSMyUEDshWrLpx-gUCKylNNGjgYSk/edit?usp=drivesdk</t>
  </si>
  <si>
    <t>Juliana Soncini</t>
  </si>
  <si>
    <t>https://docs.google.com/document/d/1_EZ6494TMQPWDAlNiw1CedE16nM5tRU4wd0t4HcjPoU/edit?usp=drivesdk</t>
  </si>
  <si>
    <t>13 January 2026</t>
  </si>
  <si>
    <t>Jane Koosney</t>
  </si>
  <si>
    <t>https://docs.google.com/document/d/1v9Jqy6wcUnUcP2L8dSgi6ZDpTwbQbboidJo4ZaFIRf8/edit?usp=drivesdk</t>
  </si>
  <si>
    <t>James F Herlihy</t>
  </si>
  <si>
    <t>https://docs.google.com/document/d/1R3KEtpHymu_y5zmUDvJ2S4ZzLlotkvYUwASXuN30bjo/edit?usp=drivesdk</t>
  </si>
  <si>
    <t>https://docs.google.com/document/d/13MmHcorm8y9rGe6hNA8cAhLj8WrRQ829xP_uC0NIjJg/edit?usp=drivesdk</t>
  </si>
  <si>
    <t>Johnny DiVito</t>
  </si>
  <si>
    <t>https://docs.google.com/document/d/1MlvOsQBotZyI3uXG3YSxaa3O9Jr6lD_pW3_cTbkW9a8/edit?usp=drivesdk</t>
  </si>
  <si>
    <t xml:space="preserve">Dan Friel </t>
  </si>
  <si>
    <t>https://docs.google.com/document/d/1uob3Od_OX4FxDOTHLvVlya__5tdg5CK9cgOGFYnQ1QY/edit?usp=drivesdk</t>
  </si>
  <si>
    <t>https://docs.google.com/document/d/1djj96bMom7pWubkvsOuw6t3V0TsggZGF-nOc4ebmUu8/edit?usp=drivesdk</t>
  </si>
  <si>
    <t>https://docs.google.com/document/d/12Xjhk6-A93xUMigGor4YLiShomq95JU-2QT4WSOiomE/edit?usp=drivesdk</t>
  </si>
  <si>
    <t>https://docs.google.com/document/d/13rX6sPXmcljTZBJHGe6Tkg-WfILLZhzX6tJjJq9HYXo/edit?usp=drivesdk</t>
  </si>
  <si>
    <t>https://docs.google.com/document/d/1-8KhY6GIaKp4cEytsmXPk_MYg6vPePkW6G1tNF_2EiU/edit?usp=drivesdk</t>
  </si>
  <si>
    <t>https://docs.google.com/document/d/1hVNK2eLaXT9uileI5Zto4IPhcuspW0PmEFDhYYlfhO0/edit?usp=drivesdk</t>
  </si>
  <si>
    <t>https://docs.google.com/document/d/1aPSPbgdVC2ReCPGm0-2J_zvpvdNah3peE3DIJi2rtfg/edit?usp=drivesdk</t>
  </si>
  <si>
    <t>Scott &amp; Bonnie Strapp</t>
  </si>
  <si>
    <t>https://docs.google.com/document/d/11HocqsBxSXUSMJGCNN3oF-7BWB2u2pJzl1aNvjdCugU/edit?usp=drivesdk</t>
  </si>
  <si>
    <t>14 January 2026</t>
  </si>
  <si>
    <t>Suzanne Miller</t>
  </si>
  <si>
    <t>https://docs.google.com/document/d/10_XghKsm9YQRTmBgfyQvggLm9HVFqUew1I2QukK6UDQ/edit?usp=drivesdk</t>
  </si>
  <si>
    <t>https://docs.google.com/document/d/1voPJUqYVRcQCn964JQsPdCsjXuURy7dgYTYYn-l_Geg/edit?usp=drivesdk</t>
  </si>
  <si>
    <t>https://docs.google.com/document/d/1KBow3XWJM-IjmLAT2kkHbeRr47CSacRvh54k2hMapW8/edit?usp=drivesdk</t>
  </si>
  <si>
    <t>https://docs.google.com/document/d/1wG_wDG9ZJIAjC8NR5BRjtv3GzslZngVV1iLASIer_lM/edit?usp=drivesdk</t>
  </si>
  <si>
    <t>https://docs.google.com/document/d/1juEydBtlLxHO1HVxMKwoiuXqacu2pl9nwHBoEz6mkq0/edit?usp=drivesdk</t>
  </si>
  <si>
    <t>https://docs.google.com/document/d/1WEjTYB8YZllMU51iCr1A2bPa3WxIKlz9b6TY0fHYrhQ/edit?usp=drivesdk</t>
  </si>
  <si>
    <t>https://docs.google.com/document/d/19L2rkW1Zr6Xb1Hikukv-lIrWX0-LpZAQLUjrcU-69vI/edit?usp=drivesdk</t>
  </si>
  <si>
    <t>https://docs.google.com/document/d/1bxT6bpH0sdOkYteYNM4zlWK50tXpIwA_w16Wraket00/edit?usp=drivesdk</t>
  </si>
  <si>
    <t>https://docs.google.com/document/d/1BLTHBblgVzL_5veWkkUWshg4A2eaREQYF4IQXMlVtJQ/edit?usp=drivesdk</t>
  </si>
  <si>
    <t>https://docs.google.com/document/d/1YXLEnCILiwhhXViEGgsX9Z9fPd0VG58jy5l5M32u80k/edit?usp=drivesdk</t>
  </si>
  <si>
    <t>https://docs.google.com/document/d/1M_MQJYLUnriIFxU74npGnXzoUPKS_quYvGevf09KvEQ/edit?usp=drivesdk</t>
  </si>
  <si>
    <t>15 January 2026</t>
  </si>
  <si>
    <t>https://docs.google.com/document/d/11pxckvRfIC47tasMicNDC5-O2PegVZGTdIDdeLcSs04/edit?usp=drivesdk</t>
  </si>
  <si>
    <t>https://docs.google.com/document/d/1xCE-gDtvrVUODxAzZUOi3ukSw_OzkCbqUTdLBRgkLd4/edit?usp=drivesdk</t>
  </si>
  <si>
    <t>https://docs.google.com/document/d/1JHs7nro6tKU79MvNV76BLkckcS8O2Bmv07BnA3HNDRU/edit?usp=drivesdk</t>
  </si>
  <si>
    <t>https://docs.google.com/document/d/1Td41CnEBGajD9sBuX0Imzp51R9hBK1JMHOhb-Sw9IdI/edit?usp=drivesdk</t>
  </si>
  <si>
    <t>https://docs.google.com/document/d/11P7GB9P3B10ZDOkrLyWj9mfG-6Vvx4weKJxCXbbPhLU/edit?usp=drivesdk</t>
  </si>
  <si>
    <t>Betty Nadalini</t>
  </si>
  <si>
    <t>https://docs.google.com/document/d/19adkAbjKYpcOPfGQw0BVpzjX-gaFD57MV3Pma_Liocw/edit?usp=drivesdk</t>
  </si>
  <si>
    <t>https://docs.google.com/document/d/1cA4O76Mt7y6Xp7_5opK1xTkn7iB3v3G1V6dDT_z5Mtc/edit?usp=drivesdk</t>
  </si>
  <si>
    <t>Dan Friel</t>
  </si>
  <si>
    <t>https://docs.google.com/document/d/1Mw0uG5EcfNrA6eQxE-uIfcU8GArqOMFNOD8QT-fTYz8/edit?usp=drivesdk</t>
  </si>
  <si>
    <t>16 January 2026</t>
  </si>
  <si>
    <t>Susan Lee</t>
  </si>
  <si>
    <t>https://docs.google.com/document/d/1SW3Xwd85yPtEdqboqxTVNX7Aj9LJuUWPRkkYLzkHygA/edit?usp=drivesdk</t>
  </si>
  <si>
    <t>Rachel Signer</t>
  </si>
  <si>
    <t>https://docs.google.com/document/d/1VRdZshja8EXmTCvsiANfjyLCgqsTnhxnp-DPMGq6iMQ/edit?usp=drivesdk</t>
  </si>
  <si>
    <t>https://docs.google.com/document/d/1UaKeNKFdvm4Xy3MIXdmGmczS9eTHw5iQizgFymDbqeY/edit?usp=drivesdk</t>
  </si>
  <si>
    <t>https://docs.google.com/document/d/1fYEwjNmlLUcL6NUhDyi87MaQCmf3nQQOKVVUq1d0hB0/edit?usp=drivesdk</t>
  </si>
  <si>
    <t>Andrea Wong</t>
  </si>
  <si>
    <t>https://docs.google.com/document/d/136elHAzVM7InWhAcZrCUi7QadizPaNK4KFG-WLGMg-I/edit?usp=drivesdk</t>
  </si>
  <si>
    <t>https://docs.google.com/document/d/10UVDoN8LRk1OiYbL45rJGT5nxSW-bZJmlkLTPT25Rxg/edit?usp=drivesdk</t>
  </si>
  <si>
    <t>https://docs.google.com/document/d/15nQnt_LCKjKk77WRgbryzjqKR9BNSz4BDLQIFNkoVeY/edit?usp=drivesdk</t>
  </si>
  <si>
    <t>https://docs.google.com/document/d/1EKSo69rlMoJ6crl993VIXw0oTkN6i9LlrPoYL9rgu3U/edit?usp=drivesdk</t>
  </si>
  <si>
    <t>https://docs.google.com/document/d/1zXUD7TSTxCUkOz9GF6RB-1prbBnwh9jusc2OHDwJlBM/edit?usp=drivesdk</t>
  </si>
  <si>
    <t>17 January 2026</t>
  </si>
  <si>
    <t>Carol Kirven</t>
  </si>
  <si>
    <t>https://docs.google.com/document/d/1FCZgzNphgUOdpn7D3KDk-bgiJMEAcPAgufZx3XW_UUQ/edit?usp=drivesdk</t>
  </si>
  <si>
    <t>Kate Cashman</t>
  </si>
  <si>
    <t>https://docs.google.com/document/d/1GcL_-h_yXRsNzha7W237chcvXWcQos0chxBzFu5Qr0A/edit?usp=drivesdk</t>
  </si>
  <si>
    <t>https://docs.google.com/document/d/1JBQHg8zJuVecle51SjMArvIJOP-T1856PyWL3nLDZ3s/edit?usp=drivesdk</t>
  </si>
  <si>
    <t>https://docs.google.com/document/d/1AUGMbQDVIIXwEWXrsuLuwb7wBYlAg2ArWJEXiMuiO_A/edit?usp=drivesdk</t>
  </si>
  <si>
    <t>https://docs.google.com/document/d/1XADovtNCVtqiUq0R1PqeKeAjzgu3MzVGOiO4wfubAng/edit?usp=drivesdk</t>
  </si>
  <si>
    <t>https://docs.google.com/document/d/1s6XSOd8tM-Q74YBV72y5XaZ7bkdaZcT2VsKbE3eLRDU/edit?usp=drivesdk</t>
  </si>
  <si>
    <t>https://docs.google.com/document/d/1v12KvX2TV07I-NnYQAHMQKLjn0f1drJmR9-SSJjOWYI/edit?usp=drivesdk</t>
  </si>
  <si>
    <t>https://docs.google.com/document/d/1di0omIzhbljdVVXy35ngbcB_M29WAuFabZ0rahfFQYQ/edit?usp=drivesdk</t>
  </si>
  <si>
    <t>tomsiena@gmail.com</t>
  </si>
  <si>
    <t>Wilson Greenlaw</t>
  </si>
  <si>
    <t>https://docs.google.com/document/d/1EVjWx-fxaWUIDZxiQjjdSzohAlwOIgllGO1f5bNqi2E/edit?usp=drivesdk</t>
  </si>
  <si>
    <t>18 January 2026</t>
  </si>
  <si>
    <t>Robert Alvarez</t>
  </si>
  <si>
    <t>https://docs.google.com/document/d/10oQEwwtpaFcJzuK1T3bPakWu5Zee1Zayw1t804A4vGg/edit?usp=drivesdk</t>
  </si>
  <si>
    <t>Jeannine Opatchen</t>
  </si>
  <si>
    <t>https://docs.google.com/document/d/1o4fr9sX1Tt_b0IAp5A8zXNIVW2cJVm3duN_-aGdkNxA/edit?usp=drivesdk</t>
  </si>
  <si>
    <t>https://docs.google.com/document/d/1m1BMUxtaDPjIW0lIGFyDaOxL7G2D3cQJd483EMndLD8/edit?usp=drivesdk</t>
  </si>
  <si>
    <t>https://docs.google.com/document/d/1Fpg-98LWSm3AUzdVAIgCBR2Pk2GkQETo2fLWjCYkewE/edit?usp=drivesdk</t>
  </si>
  <si>
    <t>https://docs.google.com/document/d/1FlkxTNBUZB3oKREvcBLhvgEHgjqz5DkXLTtimi0QjaY/edit?usp=drivesdk</t>
  </si>
  <si>
    <t>Beth Flanagan</t>
  </si>
  <si>
    <t>https://docs.google.com/document/d/1t1490rZvjZxqAw6YZlZrZ_Vq0GHN5UfAT5RWRUrGJ3U/edit?usp=drivesdk</t>
  </si>
  <si>
    <t>https://docs.google.com/document/d/1ZnK-z00kupRGAM6ShSD87ED7YN73KR76DxK0tahcrb8/edit?usp=drivesdk</t>
  </si>
  <si>
    <t>https://docs.google.com/document/d/168HRV9PPEQ7SS7IiRfeGuQ8UueuJ1ZAiLQ6eJfWy8iE/edit?usp=drivesdk</t>
  </si>
  <si>
    <t>19 January 2026</t>
  </si>
  <si>
    <t>Megan Henry</t>
  </si>
  <si>
    <t>https://docs.google.com/document/d/1ci1_JjqcdXly3K_tsstTwqNrza3YjtNkWJpsXS_cPBU/edit?usp=drivesdk</t>
  </si>
  <si>
    <t>https://docs.google.com/document/d/1DAqZJqSBnYJEmUXVVzBMA6Hbrm6gK5H_uqxOgTWHza0/edit?usp=drivesdk</t>
  </si>
  <si>
    <t>Vivien Howells</t>
  </si>
  <si>
    <t>https://docs.google.com/document/d/1KJuXcugjcuihuP2sWEtcjfXKjYqn5wRq9oAYJWhrM-0/edit?usp=drivesdk</t>
  </si>
  <si>
    <t>simone@andiamo.it</t>
  </si>
  <si>
    <t>https://docs.google.com/document/d/1-9__C899TK8sB8GpTn-jhkbo9fYzx0cvbP3TbrAVHBw/edit?usp=drivesdk</t>
  </si>
  <si>
    <t>Tara Butler</t>
  </si>
  <si>
    <t>https://docs.google.com/document/d/1sQ_ZohgtbjEgqVIRkVa7WOEH__K9BUNtpgRkn4FQDWY/edit?usp=drivesdk</t>
  </si>
  <si>
    <t>Vi Nguyen</t>
  </si>
  <si>
    <t>https://docs.google.com/document/d/1lpVeLcoHXh2RD6CoAMJFsrziVSLThIG2VEDhIjEs82o/edit?usp=drivesdk</t>
  </si>
  <si>
    <t>https://docs.google.com/document/d/1yfHSiG7c6CsdEK28kLmtOaOEpIkUSsG1o1FXDsbxwX0/edit?usp=drivesdk</t>
  </si>
  <si>
    <t>https://docs.google.com/document/d/1RBcuH_fepZhzKOEZSNf_Gte38v-gQmD5e_KYu48Wx1g/edit?usp=drivesdk</t>
  </si>
  <si>
    <t>20 January 2026</t>
  </si>
  <si>
    <t>Kurt Fitzgerald</t>
  </si>
  <si>
    <t>https://docs.google.com/document/d/1NG1RiGdEhKWwHeevsl9HRJkDyMrtVbOI-so6evGDVJU/edit?usp=drivesdk</t>
  </si>
  <si>
    <t xml:space="preserve">Vi Nguyen </t>
  </si>
  <si>
    <t>https://docs.google.com/document/d/1k9jRKxNrujA6iG27ublFS_L-vvSLZKvIrvdcFgY5eJQ/edit?usp=drivesdk</t>
  </si>
  <si>
    <t>https://docs.google.com/document/d/1Oj85i_mJoo0Ub44MIWfpCRrsGOuk_zOwq9EfyRM60HI/edit?usp=drivesdk</t>
  </si>
  <si>
    <t>https://docs.google.com/document/d/1YtEaGtdrIB9qaSdpLUgu3aMpib8Vmf09fWinB-11uss/edit?usp=drivesdk</t>
  </si>
  <si>
    <t>Stacy Cacciatore</t>
  </si>
  <si>
    <t>https://docs.google.com/document/d/1Flnm5V0wntUhaHnQQo6QP5pBpaBf0U7A1qfPE1YBkU4/edit?usp=drivesdk</t>
  </si>
  <si>
    <t>Marilyn Houston</t>
  </si>
  <si>
    <t>https://docs.google.com/document/d/1GBKTOYbjClw9zgYt_EwLpwtqBHUzlvMF68RTopyJl8Q/edit?usp=drivesdk</t>
  </si>
  <si>
    <t>Gina O'connor</t>
  </si>
  <si>
    <t>https://docs.google.com/document/d/15DB7h0g-J_rAUPH5cyMVks-sCF7SsdPE0Qu2ogdNxeM/edit?usp=drivesdk</t>
  </si>
  <si>
    <t>21 January 2026</t>
  </si>
  <si>
    <t xml:space="preserve">Kerry Weinzimmer </t>
  </si>
  <si>
    <t>https://docs.google.com/document/d/1d0aKo5h2G1GZllaL0H8fvBD0XDtl-10VEeUy2KG1As4/edit?usp=drivesdk</t>
  </si>
  <si>
    <t>https://docs.google.com/document/d/1vGS-JP9pTttilI5dtSkyHZ6sQKi5thX5uSxKg5uTtg4/edit?usp=drivesdk</t>
  </si>
  <si>
    <t>25 January 2026</t>
  </si>
  <si>
    <t xml:space="preserve">Kurt and Amy Fitzgerald </t>
  </si>
  <si>
    <t>https://docs.google.com/document/d/1EEX2xmwxa_gORWBxyJCi20oNQWwXI4oE7fhVgka_miQ/edit?usp=drivesdk</t>
  </si>
  <si>
    <t>26 January 2026</t>
  </si>
  <si>
    <t>https://docs.google.com/document/d/1RGvbUW4_may8qFB5TYUyB87mIlc5jRhDVReG7PXHZL4/edit?usp=drivesdk</t>
  </si>
  <si>
    <t>Dunkelberger</t>
  </si>
  <si>
    <t>https://docs.google.com/document/d/110lZjZlk2kWbKzdULyeBS2fEuTGso0t66rbBGdWy5zQ/edit?usp=drivesdk</t>
  </si>
  <si>
    <t>27 January 2026</t>
  </si>
  <si>
    <t>Neerali Kothari</t>
  </si>
  <si>
    <t>https://docs.google.com/document/d/1LGqOIdzPhNFYN7pvQfYT9nxhcqj21VksQq-gnzjmS9Q/edit?usp=drivesdk</t>
  </si>
  <si>
    <t>29 January 2026</t>
  </si>
  <si>
    <t xml:space="preserve">Sim Gador </t>
  </si>
  <si>
    <t>https://docs.google.com/document/d/145DPrlykCpoHUON85gPpt1J-IAun6deseGHI1q4y9fc/edit?usp=drivesdk</t>
  </si>
  <si>
    <t>18 February 2026</t>
  </si>
  <si>
    <t>Kevin Smith</t>
  </si>
  <si>
    <t>https://docs.google.com/document/d/1gNAwSxVh8z4HdOFiVsVZBiK7BOJV17EephNrNbYOUJo/edit?usp=drivesdk</t>
  </si>
  <si>
    <t>https://docs.google.com/document/d/1AHPBmnIan4EPZu7tRixRRrv2A6JwyBUl7Hzgat-Qak4/edit?usp=drivesdk</t>
  </si>
  <si>
    <t>https://docs.google.com/document/d/1JvRE4BRv8COjQK6uutOCIEabXpy5DbyAQCCv2TU5p08/edit?usp=drivesdk</t>
  </si>
  <si>
    <t>Andiamo</t>
  </si>
  <si>
    <t>https://docs.google.com/document/d/13dhEy8hixG7tLvjb4OLAYDmpzGKrX1WI8Htsd3orQjI/edit?usp=drivesdk</t>
  </si>
  <si>
    <t>GulfGirl Travel</t>
  </si>
  <si>
    <t>https://docs.google.com/document/d/14j0WzyycXHp72UhuDpL72k0gF0ruRXt3r3-7XsqmnHo/edit?usp=drivesdk</t>
  </si>
  <si>
    <t>19 February 2026</t>
  </si>
  <si>
    <t>Janet Elliot</t>
  </si>
  <si>
    <t>https://docs.google.com/document/d/1Z2rWi1r3rGhPSS8SpTfnDBGEo-F4h5U1mMMtQSfqiXY/edit?usp=drivesdk</t>
  </si>
  <si>
    <t>https://docs.google.com/document/d/1z1TWf_f5rEOshsiMwbZTlkselY4zFBaknrYnwRAsDf4/edit?usp=drivesdk</t>
  </si>
  <si>
    <t>23 February 2026</t>
  </si>
  <si>
    <t>Jennifer Krystowski</t>
  </si>
  <si>
    <t>https://docs.google.com/document/d/1cvhDvd_q5iJ7YDl-4e9jVotj5-p986Kzl7wngZYiLOs/edit?usp=drivesdk</t>
  </si>
  <si>
    <t>24 February 2026</t>
  </si>
  <si>
    <t>Patty Klenk</t>
  </si>
  <si>
    <t>https://docs.google.com/document/d/1K5TGSVaVBeRdqCvx4Flv-sEd4vPi5-DQFB5nks1szyQ/edit?usp=drivesdk</t>
  </si>
  <si>
    <t>Aishwarya Mahulikar</t>
  </si>
  <si>
    <t>https://docs.google.com/document/d/1rcbrBbysOgt7scvtFHip0N0ZDgm6uGTfTWh0Ns_1qbY/edit?usp=drivesdk</t>
  </si>
  <si>
    <t>https://docs.google.com/document/d/1dCkKUw7n38TYKzc77aHizGenQX9LXBtL8zhcD3V9LA0/edit?usp=drivesdk</t>
  </si>
  <si>
    <t>Lynn Byrne</t>
  </si>
  <si>
    <t>https://docs.google.com/document/d/1m8F-VvearDMsCUzrWOdq3nscTPfafLklXwHzFbN_cuc/edit?usp=drivesdk</t>
  </si>
  <si>
    <t>25 February 2026</t>
  </si>
  <si>
    <t>Colleen Geery</t>
  </si>
  <si>
    <t>https://docs.google.com/document/d/1HXt1CEIO3ggCdV2AIU7xoW4ya26OcJxhSU1l77F2BnI/edit?usp=drivesdk</t>
  </si>
  <si>
    <t>26 February 2026</t>
  </si>
  <si>
    <t>Ornella Passoni</t>
  </si>
  <si>
    <t>https://docs.google.com/document/d/1ZzRLpSgrY5v6B2CF5Hk88S8LAwmNAX5puO_b78Wr9bQ/edit?usp=drivesdk</t>
  </si>
  <si>
    <t>01 March 2026</t>
  </si>
  <si>
    <t>Luisa Hernandez</t>
  </si>
  <si>
    <t>https://docs.google.com/document/d/1w_6skH834x6ryOfmzYiGdVvyGJHOsxAtBRZevSKB1Qc/edit?usp=drivesdk</t>
  </si>
  <si>
    <t>https://docs.google.com/document/d/1c94yHLhENadvaINXUj0748PKd303imWzdAc8HnpRMpM/edit?usp=drivesdk</t>
  </si>
  <si>
    <t>https://docs.google.com/document/d/1rjQtjO5-JsNjgKF51AE61v_HXtLjmdaag0EUiUmz9vs/edit?usp=drivesdk</t>
  </si>
  <si>
    <t>02 March 2026</t>
  </si>
  <si>
    <t xml:space="preserve"> Frank Maguire</t>
  </si>
  <si>
    <t>https://docs.google.com/document/d/1FMXJAHZLYj2nHH8UM04vq-pMbPtnr2in4z385-SUZq4/edit?usp=drivesdk</t>
  </si>
  <si>
    <t>04 March 2026</t>
  </si>
  <si>
    <t>Ellen White</t>
  </si>
  <si>
    <t>https://docs.google.com/document/d/1Qy7YiDKDV4rqyVlPOreGbZ_UZ96xsB1neiy5odTDCQw/edit?usp=drivesdk</t>
  </si>
  <si>
    <t>COST BREAKDOWN</t>
  </si>
  <si>
    <t>RECTIFIED</t>
  </si>
  <si>
    <t>SERVIZIO</t>
  </si>
  <si>
    <t>Fuel Cost</t>
  </si>
  <si>
    <t>Depreciation</t>
  </si>
  <si>
    <t>Costi fissi</t>
  </si>
  <si>
    <t>Driver Cost</t>
  </si>
  <si>
    <t>Tolls</t>
  </si>
  <si>
    <t>Service Extension</t>
  </si>
  <si>
    <t>Total Cost Transport</t>
  </si>
  <si>
    <t>ESPERIENZE</t>
  </si>
  <si>
    <t>Service extention hour cost</t>
  </si>
  <si>
    <t>Total Extention</t>
  </si>
  <si>
    <t>Only Driver add.km cost</t>
  </si>
  <si>
    <t>Only Driver add. hour cost</t>
  </si>
  <si>
    <t>Total Only Driver Cost</t>
  </si>
  <si>
    <t>Experiences</t>
  </si>
  <si>
    <t>Total Cost Experiences</t>
  </si>
  <si>
    <t>ESTENSIONE DI SERVIZIO O TRASFERIMENTO</t>
  </si>
  <si>
    <t>Vuoto</t>
  </si>
  <si>
    <t>RETTIFICHE SU BASE CHILOMETRAGGIO</t>
  </si>
  <si>
    <t>COSTO MACCHINA CON PASSEGGERI</t>
  </si>
  <si>
    <t>MAX Addition per 0 km</t>
  </si>
  <si>
    <t>Velocità Decadimento</t>
  </si>
  <si>
    <t>Velocità attenuazione</t>
  </si>
  <si>
    <t>Soglia attenuazione</t>
  </si>
  <si>
    <t>COSTO MACCHINA SOLO DRIVER</t>
  </si>
  <si>
    <t xml:space="preserve">MAX Addition per 0 km </t>
  </si>
  <si>
    <t>MARKUPS</t>
  </si>
  <si>
    <t>Base markup transport</t>
  </si>
  <si>
    <t>Base markup experiences</t>
  </si>
  <si>
    <t>Additional tour markup</t>
  </si>
  <si>
    <t>Only driver markup</t>
  </si>
  <si>
    <t>BASE OPERATING COSTS</t>
  </si>
  <si>
    <t>Fuel Price (€/liter)</t>
  </si>
  <si>
    <t>Toll Rate (€/km)</t>
  </si>
  <si>
    <t>Driver Cost (€/hour)</t>
  </si>
  <si>
    <t>Standard Vehicle Cost (€/hour)</t>
  </si>
  <si>
    <t>FUEL COST BREAKDOWN  (per liter)</t>
  </si>
  <si>
    <t>Fuel price (per liter)</t>
  </si>
  <si>
    <t>Adblue price(per oil liter)</t>
  </si>
  <si>
    <t>TOTALE COSTO CARBURANTE PER LITRO</t>
  </si>
  <si>
    <t>CALCULATED COSTS (per km)</t>
  </si>
  <si>
    <t>Fuel Cost per km</t>
  </si>
  <si>
    <t>Depreciation per km</t>
  </si>
  <si>
    <t>Costi annuali fissi per km</t>
  </si>
  <si>
    <t>Total Variable Cost per km</t>
  </si>
  <si>
    <t>VEHICLE ASSUMPTIONS</t>
  </si>
  <si>
    <t>Fuel Consumption (km/liter)</t>
  </si>
  <si>
    <t>Vehicle Cost (€)</t>
  </si>
  <si>
    <t>Vehicle Residual Value</t>
  </si>
  <si>
    <t>Vehicle Life (km)</t>
  </si>
  <si>
    <t>Vehicle Life (years)</t>
  </si>
  <si>
    <t>Vehicle Age (years)</t>
  </si>
  <si>
    <t>Annual Vehicle Usage (km)</t>
  </si>
  <si>
    <t>ANNUAL FIXED EXPENSES</t>
  </si>
  <si>
    <t>Assicurazione</t>
  </si>
  <si>
    <t>Bollo</t>
  </si>
  <si>
    <t>Revisione</t>
  </si>
  <si>
    <t>Tagliandi</t>
  </si>
  <si>
    <t>Gomme</t>
  </si>
  <si>
    <t>Carrozziere</t>
  </si>
  <si>
    <t>Meccanico</t>
  </si>
  <si>
    <t>Lavaggi</t>
  </si>
  <si>
    <t>Incidenza costi forfettari</t>
  </si>
  <si>
    <t>Costi vari forfettari</t>
  </si>
  <si>
    <t>TOTALE</t>
  </si>
  <si>
    <t>COSTO PEDAGGIO PER ANNO</t>
  </si>
  <si>
    <t>Toll average price (per km)</t>
  </si>
  <si>
    <t>% KM on toll roads</t>
  </si>
  <si>
    <t>Toll share (km)</t>
  </si>
  <si>
    <t>TOTALE COSTO PEDAGGIO PER ANNO</t>
  </si>
  <si>
    <t>COSTO GOMME PER ANNO</t>
  </si>
  <si>
    <t>Cambio ogni KM</t>
  </si>
  <si>
    <t>Costo del ricambio gomme</t>
  </si>
  <si>
    <t>TOTALE COSTO GOMME PER ANNO</t>
  </si>
  <si>
    <t>KM</t>
  </si>
  <si>
    <t>COSTO</t>
  </si>
  <si>
    <t>CORRETTO</t>
  </si>
  <si>
    <t>NOME</t>
  </si>
  <si>
    <t>DURATION</t>
  </si>
  <si>
    <t>HRs</t>
  </si>
  <si>
    <t>KMs</t>
  </si>
  <si>
    <t>TOLL</t>
  </si>
  <si>
    <t>ESP A</t>
  </si>
  <si>
    <t>ESP B</t>
  </si>
  <si>
    <t>ESP C</t>
  </si>
  <si>
    <t>ESP D</t>
  </si>
  <si>
    <t>ESPERIENZE p.p.</t>
  </si>
  <si>
    <t>Personalizzato</t>
  </si>
  <si>
    <t>Chianti Classico</t>
  </si>
  <si>
    <t>Montalcino</t>
  </si>
  <si>
    <t>Monteriggioni-SanGi</t>
  </si>
  <si>
    <t>Modena</t>
  </si>
  <si>
    <t>Bolgheri</t>
  </si>
  <si>
    <t>Suvereto</t>
  </si>
  <si>
    <t>Montalcino-Pienza</t>
  </si>
  <si>
    <t>Pisa-Lucca</t>
  </si>
  <si>
    <t>Monteriggioni-SanGi-Volterra</t>
  </si>
  <si>
    <t>Assisi</t>
  </si>
  <si>
    <t>Siena</t>
  </si>
  <si>
    <t>Siena dintorni</t>
  </si>
  <si>
    <t>Arezzo</t>
  </si>
  <si>
    <t>Chiusi</t>
  </si>
  <si>
    <t>Civitavecchia</t>
  </si>
  <si>
    <t>Cortona</t>
  </si>
  <si>
    <t>Grosseto</t>
  </si>
  <si>
    <t>Como</t>
  </si>
  <si>
    <t>Bologna</t>
  </si>
  <si>
    <t>Firenze</t>
  </si>
  <si>
    <t>Genova</t>
  </si>
  <si>
    <t>La Spezia</t>
  </si>
  <si>
    <t>Livorno</t>
  </si>
  <si>
    <t>Lucca</t>
  </si>
  <si>
    <t>Milano</t>
  </si>
  <si>
    <t>Montecatini</t>
  </si>
  <si>
    <t>Montepulciano</t>
  </si>
  <si>
    <t>Monterosso</t>
  </si>
  <si>
    <t>MXP</t>
  </si>
  <si>
    <t>Napoli</t>
  </si>
  <si>
    <t>Orvieto</t>
  </si>
  <si>
    <t>Perugia</t>
  </si>
  <si>
    <t>Pisa</t>
  </si>
  <si>
    <t>Porto Ercole</t>
  </si>
  <si>
    <t>Roma</t>
  </si>
  <si>
    <t>San Gimignano</t>
  </si>
  <si>
    <t>Sirmione</t>
  </si>
  <si>
    <t>Sorrento</t>
  </si>
  <si>
    <t>Venezia</t>
  </si>
  <si>
    <t>Soglia Attenuazione</t>
  </si>
  <si>
    <t>Tasso attenuazione</t>
  </si>
  <si>
    <t xml:space="preserve">Massimo aumento </t>
  </si>
  <si>
    <t>Velocità decadimento</t>
  </si>
  <si>
    <t>Selezionare scenario di prezzo: L = LOW; A = AVERAGE; H = HIGH; C = CAR; V = VAN; F = FULL
Selezionare solo una colonna</t>
  </si>
  <si>
    <t>Pax riferimento</t>
  </si>
  <si>
    <t>VAT riferimento</t>
  </si>
  <si>
    <t>Card Fees riferimento</t>
  </si>
  <si>
    <t>% per Driver</t>
  </si>
  <si>
    <t>Cost Transport</t>
  </si>
  <si>
    <t>Cost TransportCorrected</t>
  </si>
  <si>
    <t>CL</t>
  </si>
  <si>
    <t>CA</t>
  </si>
  <si>
    <t>CH</t>
  </si>
  <si>
    <t>VL</t>
  </si>
  <si>
    <t>VA</t>
  </si>
  <si>
    <t>VH</t>
  </si>
  <si>
    <t>FL</t>
  </si>
  <si>
    <t>FA</t>
  </si>
  <si>
    <t>FH</t>
  </si>
  <si>
    <t>Pax</t>
  </si>
  <si>
    <t>Costo Esperience</t>
  </si>
  <si>
    <t>LL</t>
  </si>
  <si>
    <t>LA</t>
  </si>
  <si>
    <t>LH</t>
  </si>
  <si>
    <t>AL</t>
  </si>
  <si>
    <t>AH</t>
  </si>
  <si>
    <t>AA</t>
  </si>
  <si>
    <t>HL</t>
  </si>
  <si>
    <t>HA</t>
  </si>
  <si>
    <t>HH</t>
  </si>
  <si>
    <t>TOT TRASP</t>
  </si>
  <si>
    <t>TOT ESPERIENZE</t>
  </si>
  <si>
    <t>TOT CALCOLATO</t>
  </si>
  <si>
    <t>CC FEES</t>
  </si>
  <si>
    <t>TOTALE VENDITA</t>
  </si>
  <si>
    <t>COSTO DRIVER</t>
  </si>
  <si>
    <t>COSTO ORA</t>
  </si>
  <si>
    <t>COSTO CORRETTO</t>
  </si>
  <si>
    <t>COSTO MEDIO</t>
  </si>
  <si>
    <t>COSTO MEDIO CORRETTO</t>
  </si>
  <si>
    <t>COSTO MINIMO</t>
  </si>
  <si>
    <t>COSTO MASSIMO</t>
  </si>
  <si>
    <t>Costo minimo garantito</t>
  </si>
  <si>
    <t>Costo massimo riconosciuto</t>
  </si>
  <si>
    <t>Aliquota IVA %</t>
  </si>
  <si>
    <t>Card fees</t>
  </si>
  <si>
    <t>Extra Fees</t>
  </si>
  <si>
    <t>YEAR</t>
  </si>
  <si>
    <t>% YEAR DEPRECIATION</t>
  </si>
  <si>
    <t>RESIDUAL VALUE</t>
  </si>
  <si>
    <t>€ DEPRECIATION</t>
  </si>
  <si>
    <t>USAGE</t>
  </si>
  <si>
    <t>EXPRECTED LIFESPAN</t>
  </si>
  <si>
    <t>RESIDUAL BEFORE SELLING</t>
  </si>
  <si>
    <t>DEPRECIATION PER KM BEFORE SELLING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</si>
</sst>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d/mm/yyyy"/>
    <numFmt numFmtId="165" formatCode="#,##0.0"/>
    <numFmt numFmtId="166" formatCode="_-* #,##0.00\ &quot;€&quot;_-;\-* #,##0.00\ &quot;€&quot;_-;_-* &quot;-&quot;??\ &quot;€&quot;_-;_-@"/>
    <numFmt numFmtId="167" formatCode="_-* #,##0\ &quot;€&quot;_-;\-* #,##0\ &quot;€&quot;_-;_-* &quot;-&quot;??\ &quot;€&quot;_-;_-@"/>
    <numFmt numFmtId="168" formatCode="\€#,##0.00"/>
    <numFmt numFmtId="169" formatCode="[$€-2]\ #,##0.00"/>
    <numFmt numFmtId="170" formatCode="\€#,##0"/>
    <numFmt numFmtId="171" formatCode="[$€-2]\ #,##0"/>
    <numFmt numFmtId="172" formatCode="0.0"/>
    <numFmt numFmtId="173" formatCode="_-* #,##0.000\ &quot;€&quot;_-;\-* #,##0.000\ &quot;€&quot;_-;_-* &quot;-&quot;??\ &quot;€&quot;_-;_-@"/>
    <numFmt numFmtId="174" formatCode="\€#,##0.000"/>
    <numFmt numFmtId="175" formatCode="_-* #,##0.0\ &quot;€&quot;_-;\-* #,##0.0\ &quot;€&quot;_-;_-* &quot;-&quot;??\ &quot;€&quot;_-;_-@"/>
    <numFmt numFmtId="176" formatCode="_-* #,##0.0\ &quot;€&quot;_-;\-* #,##0.0\ &quot;€&quot;_-;_-* &quot;-&quot;?\ &quot;€&quot;_-;_-@"/>
  </numFmts>
  <fonts count="33">
    <font>
      <sz val="11.0"/>
      <color theme="1"/>
      <name val="Calibri"/>
      <scheme val="minor"/>
    </font>
    <font>
      <b/>
      <sz val="15.0"/>
      <color rgb="FFFFFFFF"/>
      <name val="Calibri"/>
    </font>
    <font>
      <b/>
      <i/>
      <sz val="8.0"/>
      <color rgb="FFFFFFFF"/>
      <name val="Calibri"/>
    </font>
    <font>
      <sz val="11.0"/>
      <color theme="1"/>
      <name val="Calibri"/>
    </font>
    <font>
      <b/>
      <color rgb="FFFFFFFF"/>
      <name val="Calibri"/>
      <scheme val="minor"/>
    </font>
    <font>
      <b/>
      <color theme="1"/>
      <name val="Calibri"/>
      <scheme val="minor"/>
    </font>
    <font>
      <b/>
      <sz val="11.0"/>
      <color rgb="FFFFFFFF"/>
      <name val="Calibri"/>
    </font>
    <font>
      <b/>
      <sz val="11.0"/>
      <color theme="1"/>
      <name val="Calibri"/>
    </font>
    <font>
      <b/>
      <sz val="11.0"/>
      <color rgb="FF003FC2"/>
      <name val="Calibri"/>
    </font>
    <font/>
    <font>
      <color theme="1"/>
      <name val="Calibri"/>
      <scheme val="minor"/>
    </font>
    <font>
      <b/>
      <sz val="11.0"/>
      <color rgb="FF0000FF"/>
      <name val="Calibri"/>
    </font>
    <font>
      <i/>
      <sz val="8.0"/>
      <color theme="1"/>
      <name val="Calibri"/>
    </font>
    <font>
      <b/>
      <sz val="10.0"/>
      <color rgb="FF0000FF"/>
      <name val="Arial"/>
    </font>
    <font>
      <color theme="1"/>
      <name val="Calibri"/>
    </font>
    <font>
      <b/>
      <sz val="11.0"/>
      <color theme="0"/>
      <name val="Calibri"/>
    </font>
    <font>
      <sz val="10.0"/>
      <color theme="1"/>
      <name val="Arial"/>
    </font>
    <font>
      <b/>
      <i/>
      <sz val="16.0"/>
      <color theme="1"/>
      <name val="Calibri"/>
    </font>
    <font>
      <i/>
      <sz val="11.0"/>
      <color theme="1"/>
      <name val="Calibri"/>
    </font>
    <font>
      <b/>
      <i/>
      <sz val="20.0"/>
      <color theme="1"/>
      <name val="Calibri"/>
    </font>
    <font>
      <b/>
      <i/>
      <sz val="12.0"/>
      <color theme="1"/>
      <name val="Calibri"/>
    </font>
    <font>
      <sz val="13.0"/>
      <color theme="1"/>
      <name val="Calibri"/>
    </font>
    <font>
      <b/>
      <color rgb="FFFF0000"/>
      <name val="Calibri"/>
    </font>
    <font>
      <b/>
      <color rgb="FFFFFFFF"/>
      <name val="Calibri"/>
    </font>
    <font>
      <u/>
      <color rgb="FF0000FF"/>
    </font>
    <font>
      <i/>
      <sz val="9.0"/>
      <color rgb="FF595959"/>
      <name val="Arial"/>
    </font>
    <font>
      <b/>
      <sz val="12.0"/>
      <color rgb="FF2C3E50"/>
      <name val="Calibri"/>
    </font>
    <font>
      <sz val="10.0"/>
      <color rgb="FF34495E"/>
      <name val="Calibri"/>
    </font>
    <font>
      <b/>
      <i/>
      <sz val="8.0"/>
      <color rgb="FF003FC2"/>
      <name val="Calibri"/>
    </font>
    <font>
      <b/>
      <sz val="10.0"/>
      <color theme="1"/>
      <name val="Arial"/>
    </font>
    <font>
      <sz val="11.0"/>
      <color theme="0"/>
      <name val="Calibri"/>
    </font>
    <font>
      <sz val="11.0"/>
      <color rgb="FFFFFFFF"/>
      <name val="Calibri"/>
    </font>
    <font>
      <b/>
      <sz val="11.0"/>
      <color rgb="FF595959"/>
      <name val="Calibri"/>
    </font>
  </fonts>
  <fills count="3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3498DB"/>
        <bgColor rgb="FF3498DB"/>
      </patternFill>
    </fill>
    <fill>
      <patternFill patternType="solid">
        <fgColor rgb="FFFFD966"/>
        <bgColor rgb="FFFFD966"/>
      </patternFill>
    </fill>
    <fill>
      <patternFill patternType="solid">
        <fgColor rgb="FFE8F5F9"/>
        <bgColor rgb="FFE8F5F9"/>
      </patternFill>
    </fill>
    <fill>
      <patternFill patternType="solid">
        <fgColor rgb="FFE8F4F8"/>
        <bgColor rgb="FFE8F4F8"/>
      </patternFill>
    </fill>
    <fill>
      <patternFill patternType="solid">
        <fgColor rgb="FFD6E3BC"/>
        <bgColor rgb="FFD6E3BC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FBD4B4"/>
        <bgColor rgb="FFFBD4B4"/>
      </patternFill>
    </fill>
    <fill>
      <patternFill patternType="solid">
        <fgColor rgb="FFE5B8B7"/>
        <bgColor rgb="FFE5B8B7"/>
      </patternFill>
    </fill>
    <fill>
      <patternFill patternType="solid">
        <fgColor rgb="FFF8ECA0"/>
        <bgColor rgb="FFF8ECA0"/>
      </patternFill>
    </fill>
    <fill>
      <patternFill patternType="solid">
        <fgColor rgb="FF00B050"/>
        <bgColor rgb="FF00B050"/>
      </patternFill>
    </fill>
    <fill>
      <patternFill patternType="solid">
        <fgColor rgb="FF92D050"/>
        <bgColor rgb="FF92D050"/>
      </patternFill>
    </fill>
    <fill>
      <patternFill patternType="solid">
        <fgColor rgb="FFC6F0CE"/>
        <bgColor rgb="FFC6F0CE"/>
      </patternFill>
    </fill>
    <fill>
      <patternFill patternType="solid">
        <fgColor theme="6"/>
        <bgColor theme="6"/>
      </patternFill>
    </fill>
    <fill>
      <patternFill patternType="solid">
        <fgColor rgb="FFFFF2CC"/>
        <bgColor rgb="FFFFF2CC"/>
      </patternFill>
    </fill>
    <fill>
      <patternFill patternType="solid">
        <fgColor rgb="FFE67E22"/>
        <bgColor rgb="FFE67E22"/>
      </patternFill>
    </fill>
    <fill>
      <patternFill patternType="solid">
        <fgColor rgb="FF95A5A6"/>
        <bgColor rgb="FF95A5A6"/>
      </patternFill>
    </fill>
    <fill>
      <patternFill patternType="solid">
        <fgColor rgb="FF595959"/>
        <bgColor rgb="FF595959"/>
      </patternFill>
    </fill>
    <fill>
      <patternFill patternType="solid">
        <fgColor rgb="FFF39C12"/>
        <bgColor rgb="FFF39C12"/>
      </patternFill>
    </fill>
    <fill>
      <patternFill patternType="solid">
        <fgColor rgb="FF00F872"/>
        <bgColor rgb="FF00F872"/>
      </patternFill>
    </fill>
    <fill>
      <patternFill patternType="solid">
        <fgColor rgb="FFF2F2F2"/>
        <bgColor rgb="FFF2F2F2"/>
      </patternFill>
    </fill>
    <fill>
      <patternFill patternType="solid">
        <fgColor rgb="FF0070C0"/>
        <bgColor rgb="FF0070C0"/>
      </patternFill>
    </fill>
    <fill>
      <patternFill patternType="solid">
        <fgColor rgb="FFD8D8D8"/>
        <bgColor rgb="FFD8D8D8"/>
      </patternFill>
    </fill>
    <fill>
      <patternFill patternType="solid">
        <fgColor rgb="FF7F7F7F"/>
        <bgColor rgb="FF7F7F7F"/>
      </patternFill>
    </fill>
    <fill>
      <patternFill patternType="solid">
        <fgColor rgb="FFBFBFBF"/>
        <bgColor rgb="FFBFBFBF"/>
      </patternFill>
    </fill>
    <fill>
      <patternFill patternType="solid">
        <fgColor rgb="FFF8F9FA"/>
        <bgColor rgb="FFF8F9FA"/>
      </patternFill>
    </fill>
    <fill>
      <patternFill patternType="solid">
        <fgColor rgb="FFFDE9D9"/>
        <bgColor rgb="FFFDE9D9"/>
      </patternFill>
    </fill>
    <fill>
      <patternFill patternType="solid">
        <fgColor rgb="FFC4BD97"/>
        <bgColor rgb="FFC4BD97"/>
      </patternFill>
    </fill>
    <fill>
      <patternFill patternType="solid">
        <fgColor rgb="FF494429"/>
        <bgColor rgb="FF494429"/>
      </patternFill>
    </fill>
    <fill>
      <patternFill patternType="solid">
        <fgColor rgb="FFDDD9C3"/>
        <bgColor rgb="FFDDD9C3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  <fill>
      <patternFill patternType="solid">
        <fgColor rgb="FFFEFFDD"/>
        <bgColor rgb="FFFEFFDD"/>
      </patternFill>
    </fill>
    <fill>
      <patternFill patternType="solid">
        <fgColor rgb="FFEAF1DD"/>
        <bgColor rgb="FFEAF1DD"/>
      </patternFill>
    </fill>
    <fill>
      <patternFill patternType="solid">
        <fgColor rgb="FFF2DBDB"/>
        <bgColor rgb="FFF2DBDB"/>
      </patternFill>
    </fill>
    <fill>
      <patternFill patternType="solid">
        <fgColor rgb="FFE36C09"/>
        <bgColor rgb="FFE36C09"/>
      </patternFill>
    </fill>
  </fills>
  <borders count="36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/>
      <bottom/>
    </border>
    <border>
      <top/>
      <bottom/>
    </border>
    <border>
      <right style="thin">
        <color rgb="FFCCCCCC"/>
      </right>
    </border>
    <border>
      <left style="thin">
        <color rgb="FFCCCCCC"/>
      </left>
      <right style="thin">
        <color rgb="FFCCCCCC"/>
      </right>
    </border>
    <border>
      <left/>
      <top/>
      <bottom/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000000"/>
      </top>
      <bottom style="double">
        <color rgb="FF000000"/>
      </bottom>
    </border>
    <border>
      <left style="thin">
        <color rgb="FFCCCCCC"/>
      </left>
      <top style="thin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 style="thin">
        <color rgb="FFCCCCCC"/>
      </bottom>
    </border>
    <border>
      <top/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/>
    </border>
    <border>
      <left style="thin">
        <color rgb="FFCCCCCC"/>
      </left>
      <right style="thin">
        <color rgb="FFCCCCCC"/>
      </right>
      <top/>
      <bottom/>
    </border>
    <border>
      <left/>
      <right/>
      <top/>
      <bottom style="thin">
        <color rgb="FFCCCCCC"/>
      </bottom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/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18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Fill="1" applyFont="1"/>
    <xf borderId="0" fillId="0" fontId="3" numFmtId="0" xfId="0" applyAlignment="1" applyFont="1">
      <alignment horizontal="center"/>
    </xf>
    <xf borderId="0" fillId="2" fontId="4" numFmtId="0" xfId="0" applyAlignment="1" applyFont="1">
      <alignment horizontal="center" readingOrder="0" vertical="center"/>
    </xf>
    <xf borderId="0" fillId="4" fontId="5" numFmtId="164" xfId="0" applyAlignment="1" applyFill="1" applyFont="1" applyNumberFormat="1">
      <alignment horizontal="center" readingOrder="0" vertical="center"/>
    </xf>
    <xf borderId="1" fillId="3" fontId="6" numFmtId="0" xfId="0" applyAlignment="1" applyBorder="1" applyFont="1">
      <alignment horizontal="left" vertical="center"/>
    </xf>
    <xf borderId="1" fillId="3" fontId="2" numFmtId="0" xfId="0" applyAlignment="1" applyBorder="1" applyFont="1">
      <alignment horizontal="center" vertical="center"/>
    </xf>
    <xf borderId="1" fillId="3" fontId="2" numFmtId="0" xfId="0" applyBorder="1" applyFont="1"/>
    <xf borderId="2" fillId="0" fontId="7" numFmtId="0" xfId="0" applyAlignment="1" applyBorder="1" applyFont="1">
      <alignment readingOrder="0" vertical="center"/>
    </xf>
    <xf borderId="3" fillId="5" fontId="8" numFmtId="0" xfId="0" applyAlignment="1" applyBorder="1" applyFill="1" applyFont="1">
      <alignment horizontal="center" readingOrder="0" vertical="center"/>
    </xf>
    <xf borderId="4" fillId="0" fontId="9" numFmtId="0" xfId="0" applyBorder="1" applyFont="1"/>
    <xf borderId="0" fillId="0" fontId="10" numFmtId="0" xfId="0" applyAlignment="1" applyFont="1">
      <alignment readingOrder="0"/>
    </xf>
    <xf borderId="0" fillId="0" fontId="7" numFmtId="0" xfId="0" applyAlignment="1" applyFont="1">
      <alignment readingOrder="0" vertical="center"/>
    </xf>
    <xf borderId="2" fillId="6" fontId="11" numFmtId="3" xfId="0" applyAlignment="1" applyBorder="1" applyFill="1" applyFont="1" applyNumberFormat="1">
      <alignment horizontal="center" readingOrder="0" vertical="center"/>
    </xf>
    <xf borderId="1" fillId="7" fontId="12" numFmtId="3" xfId="0" applyAlignment="1" applyBorder="1" applyFill="1" applyFont="1" applyNumberFormat="1">
      <alignment horizontal="center" vertical="center"/>
    </xf>
    <xf borderId="1" fillId="8" fontId="3" numFmtId="0" xfId="0" applyAlignment="1" applyBorder="1" applyFill="1" applyFont="1">
      <alignment horizontal="center"/>
    </xf>
    <xf borderId="1" fillId="7" fontId="12" numFmtId="0" xfId="0" applyAlignment="1" applyBorder="1" applyFont="1">
      <alignment horizontal="center" vertical="center"/>
    </xf>
    <xf borderId="2" fillId="6" fontId="11" numFmtId="165" xfId="0" applyAlignment="1" applyBorder="1" applyFont="1" applyNumberFormat="1">
      <alignment horizontal="center" readingOrder="0" vertical="center"/>
    </xf>
    <xf borderId="1" fillId="7" fontId="12" numFmtId="165" xfId="0" applyAlignment="1" applyBorder="1" applyFont="1" applyNumberFormat="1">
      <alignment horizontal="center" vertical="center"/>
    </xf>
    <xf borderId="5" fillId="0" fontId="7" numFmtId="0" xfId="0" applyAlignment="1" applyBorder="1" applyFont="1">
      <alignment readingOrder="0" vertical="center"/>
    </xf>
    <xf borderId="6" fillId="6" fontId="11" numFmtId="3" xfId="0" applyAlignment="1" applyBorder="1" applyFont="1" applyNumberFormat="1">
      <alignment horizontal="center" readingOrder="0" vertical="center"/>
    </xf>
    <xf borderId="6" fillId="0" fontId="7" numFmtId="0" xfId="0" applyAlignment="1" applyBorder="1" applyFont="1">
      <alignment vertical="center"/>
    </xf>
    <xf borderId="2" fillId="5" fontId="13" numFmtId="166" xfId="0" applyAlignment="1" applyBorder="1" applyFont="1" applyNumberFormat="1">
      <alignment horizontal="center" readingOrder="0" vertical="center"/>
    </xf>
    <xf borderId="1" fillId="7" fontId="12" numFmtId="166" xfId="0" applyAlignment="1" applyBorder="1" applyFont="1" applyNumberFormat="1">
      <alignment horizontal="center" vertical="center"/>
    </xf>
    <xf borderId="0" fillId="0" fontId="3" numFmtId="166" xfId="0" applyAlignment="1" applyFont="1" applyNumberFormat="1">
      <alignment horizontal="center"/>
    </xf>
    <xf borderId="2" fillId="5" fontId="13" numFmtId="167" xfId="0" applyAlignment="1" applyBorder="1" applyFont="1" applyNumberFormat="1">
      <alignment horizontal="center" readingOrder="0" vertical="center"/>
    </xf>
    <xf borderId="7" fillId="9" fontId="6" numFmtId="0" xfId="0" applyAlignment="1" applyBorder="1" applyFill="1" applyFont="1">
      <alignment vertical="center"/>
    </xf>
    <xf borderId="0" fillId="0" fontId="7" numFmtId="0" xfId="0" applyAlignment="1" applyFont="1">
      <alignment vertical="center"/>
    </xf>
    <xf borderId="1" fillId="5" fontId="11" numFmtId="0" xfId="0" applyAlignment="1" applyBorder="1" applyFont="1">
      <alignment horizontal="center" readingOrder="0" vertical="center"/>
    </xf>
    <xf borderId="1" fillId="10" fontId="7" numFmtId="0" xfId="0" applyAlignment="1" applyBorder="1" applyFill="1" applyFont="1">
      <alignment vertical="center"/>
    </xf>
    <xf borderId="1" fillId="5" fontId="13" numFmtId="9" xfId="0" applyAlignment="1" applyBorder="1" applyFont="1" applyNumberFormat="1">
      <alignment readingOrder="0" vertical="center"/>
    </xf>
    <xf borderId="1" fillId="7" fontId="12" numFmtId="9" xfId="0" applyAlignment="1" applyBorder="1" applyFont="1" applyNumberFormat="1">
      <alignment horizontal="center" vertical="center"/>
    </xf>
    <xf borderId="1" fillId="11" fontId="7" numFmtId="0" xfId="0" applyAlignment="1" applyBorder="1" applyFill="1" applyFont="1">
      <alignment vertical="center"/>
    </xf>
    <xf borderId="1" fillId="5" fontId="13" numFmtId="9" xfId="0" applyAlignment="1" applyBorder="1" applyFont="1" applyNumberFormat="1">
      <alignment vertical="center"/>
    </xf>
    <xf borderId="1" fillId="12" fontId="7" numFmtId="0" xfId="0" applyAlignment="1" applyBorder="1" applyFill="1" applyFont="1">
      <alignment vertical="center"/>
    </xf>
    <xf borderId="1" fillId="5" fontId="13" numFmtId="166" xfId="0" applyAlignment="1" applyBorder="1" applyFont="1" applyNumberFormat="1">
      <alignment vertical="center"/>
    </xf>
    <xf borderId="0" fillId="0" fontId="14" numFmtId="0" xfId="0" applyAlignment="1" applyFont="1">
      <alignment vertical="center"/>
    </xf>
    <xf borderId="7" fillId="13" fontId="15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1" fillId="14" fontId="16" numFmtId="167" xfId="0" applyAlignment="1" applyBorder="1" applyFill="1" applyFont="1" applyNumberFormat="1">
      <alignment vertical="center"/>
    </xf>
    <xf borderId="0" fillId="0" fontId="3" numFmtId="167" xfId="0" applyAlignment="1" applyFont="1" applyNumberFormat="1">
      <alignment vertical="center"/>
    </xf>
    <xf borderId="1" fillId="15" fontId="16" numFmtId="167" xfId="0" applyAlignment="1" applyBorder="1" applyFill="1" applyFont="1" applyNumberFormat="1">
      <alignment vertical="center"/>
    </xf>
    <xf borderId="1" fillId="12" fontId="16" numFmtId="167" xfId="0" applyAlignment="1" applyBorder="1" applyFont="1" applyNumberFormat="1">
      <alignment vertical="center"/>
    </xf>
    <xf borderId="8" fillId="0" fontId="3" numFmtId="0" xfId="0" applyAlignment="1" applyBorder="1" applyFont="1">
      <alignment vertical="center"/>
    </xf>
    <xf borderId="9" fillId="12" fontId="16" numFmtId="167" xfId="0" applyAlignment="1" applyBorder="1" applyFont="1" applyNumberFormat="1">
      <alignment readingOrder="0" vertical="center"/>
    </xf>
    <xf borderId="10" fillId="16" fontId="17" numFmtId="168" xfId="0" applyAlignment="1" applyBorder="1" applyFill="1" applyFont="1" applyNumberFormat="1">
      <alignment vertical="center"/>
    </xf>
    <xf borderId="11" fillId="16" fontId="18" numFmtId="169" xfId="0" applyAlignment="1" applyBorder="1" applyFont="1" applyNumberFormat="1">
      <alignment horizontal="right" vertical="center"/>
    </xf>
    <xf borderId="12" fillId="16" fontId="19" numFmtId="168" xfId="0" applyAlignment="1" applyBorder="1" applyFont="1" applyNumberFormat="1">
      <alignment horizontal="center" vertical="center"/>
    </xf>
    <xf borderId="7" fillId="10" fontId="16" numFmtId="167" xfId="0" applyAlignment="1" applyBorder="1" applyFont="1" applyNumberFormat="1">
      <alignment vertical="center"/>
    </xf>
    <xf borderId="13" fillId="16" fontId="20" numFmtId="168" xfId="0" applyAlignment="1" applyBorder="1" applyFont="1" applyNumberFormat="1">
      <alignment horizontal="center" vertical="center"/>
    </xf>
    <xf borderId="0" fillId="0" fontId="14" numFmtId="168" xfId="0" applyFont="1" applyNumberFormat="1"/>
    <xf borderId="1" fillId="11" fontId="16" numFmtId="167" xfId="0" applyAlignment="1" applyBorder="1" applyFont="1" applyNumberFormat="1">
      <alignment vertical="center"/>
    </xf>
    <xf borderId="0" fillId="0" fontId="14" numFmtId="0" xfId="0" applyAlignment="1" applyFont="1">
      <alignment horizontal="center" vertical="center"/>
    </xf>
    <xf borderId="0" fillId="0" fontId="21" numFmtId="0" xfId="0" applyFont="1"/>
    <xf borderId="0" fillId="0" fontId="14" numFmtId="169" xfId="0" applyFont="1" applyNumberFormat="1"/>
    <xf borderId="0" fillId="0" fontId="22" numFmtId="0" xfId="0" applyAlignment="1" applyFont="1">
      <alignment vertical="center"/>
    </xf>
    <xf borderId="0" fillId="0" fontId="14" numFmtId="169" xfId="0" applyAlignment="1" applyFont="1" applyNumberFormat="1">
      <alignment vertical="center"/>
    </xf>
    <xf borderId="0" fillId="0" fontId="10" numFmtId="49" xfId="0" applyFont="1" applyNumberFormat="1"/>
    <xf borderId="0" fillId="2" fontId="23" numFmtId="0" xfId="0" applyFont="1"/>
    <xf borderId="0" fillId="2" fontId="23" numFmtId="0" xfId="0" applyAlignment="1" applyFont="1">
      <alignment horizontal="right"/>
    </xf>
    <xf borderId="0" fillId="0" fontId="24" numFmtId="0" xfId="0" applyAlignment="1" applyFont="1">
      <alignment readingOrder="0"/>
    </xf>
    <xf borderId="0" fillId="0" fontId="10" numFmtId="0" xfId="0" applyAlignment="1" applyFont="1">
      <alignment readingOrder="0"/>
    </xf>
    <xf borderId="0" fillId="17" fontId="10" numFmtId="0" xfId="0" applyAlignment="1" applyFill="1" applyFont="1">
      <alignment readingOrder="0"/>
    </xf>
    <xf borderId="0" fillId="17" fontId="10" numFmtId="0" xfId="0" applyFont="1"/>
    <xf borderId="14" fillId="18" fontId="6" numFmtId="0" xfId="0" applyAlignment="1" applyBorder="1" applyFill="1" applyFont="1">
      <alignment horizontal="left"/>
    </xf>
    <xf borderId="15" fillId="0" fontId="9" numFmtId="0" xfId="0" applyBorder="1" applyFont="1"/>
    <xf borderId="1" fillId="18" fontId="6" numFmtId="0" xfId="0" applyAlignment="1" applyBorder="1" applyFont="1">
      <alignment horizontal="center" readingOrder="0"/>
    </xf>
    <xf borderId="7" fillId="19" fontId="7" numFmtId="0" xfId="0" applyAlignment="1" applyBorder="1" applyFill="1" applyFont="1">
      <alignment horizontal="center" readingOrder="0"/>
    </xf>
    <xf borderId="2" fillId="0" fontId="3" numFmtId="0" xfId="0" applyBorder="1" applyFont="1"/>
    <xf borderId="2" fillId="0" fontId="3" numFmtId="168" xfId="0" applyBorder="1" applyFont="1" applyNumberFormat="1"/>
    <xf borderId="1" fillId="20" fontId="15" numFmtId="0" xfId="0" applyAlignment="1" applyBorder="1" applyFill="1" applyFont="1">
      <alignment horizontal="center"/>
    </xf>
    <xf borderId="1" fillId="14" fontId="16" numFmtId="167" xfId="0" applyBorder="1" applyFont="1" applyNumberFormat="1"/>
    <xf borderId="0" fillId="0" fontId="14" numFmtId="0" xfId="0" applyFont="1"/>
    <xf borderId="2" fillId="0" fontId="3" numFmtId="0" xfId="0" applyAlignment="1" applyBorder="1" applyFont="1">
      <alignment readingOrder="0"/>
    </xf>
    <xf borderId="2" fillId="0" fontId="3" numFmtId="168" xfId="0" applyAlignment="1" applyBorder="1" applyFont="1" applyNumberFormat="1">
      <alignment readingOrder="0"/>
    </xf>
    <xf borderId="2" fillId="21" fontId="7" numFmtId="0" xfId="0" applyBorder="1" applyFill="1" applyFont="1"/>
    <xf borderId="2" fillId="21" fontId="7" numFmtId="168" xfId="0" applyBorder="1" applyFont="1" applyNumberFormat="1"/>
    <xf borderId="0" fillId="0" fontId="10" numFmtId="0" xfId="0" applyFont="1"/>
    <xf borderId="1" fillId="22" fontId="16" numFmtId="167" xfId="0" applyBorder="1" applyFill="1" applyFont="1" applyNumberFormat="1"/>
    <xf borderId="0" fillId="0" fontId="25" numFmtId="9" xfId="0" applyFont="1" applyNumberFormat="1"/>
    <xf borderId="2" fillId="0" fontId="3" numFmtId="170" xfId="0" applyBorder="1" applyFont="1" applyNumberFormat="1"/>
    <xf borderId="5" fillId="0" fontId="3" numFmtId="0" xfId="0" applyBorder="1" applyFont="1"/>
    <xf borderId="0" fillId="0" fontId="26" numFmtId="0" xfId="0" applyFont="1"/>
    <xf borderId="1" fillId="20" fontId="6" numFmtId="0" xfId="0" applyAlignment="1" applyBorder="1" applyFont="1">
      <alignment horizontal="center" readingOrder="0"/>
    </xf>
    <xf borderId="0" fillId="0" fontId="10" numFmtId="171" xfId="0" applyAlignment="1" applyFont="1" applyNumberFormat="1">
      <alignment readingOrder="0"/>
    </xf>
    <xf borderId="0" fillId="0" fontId="27" numFmtId="0" xfId="0" applyFont="1"/>
    <xf borderId="0" fillId="0" fontId="16" numFmtId="166" xfId="0" applyFont="1" applyNumberFormat="1"/>
    <xf borderId="0" fillId="0" fontId="3" numFmtId="166" xfId="0" applyFont="1" applyNumberFormat="1"/>
    <xf borderId="7" fillId="18" fontId="6" numFmtId="0" xfId="0" applyAlignment="1" applyBorder="1" applyFont="1">
      <alignment horizontal="left" readingOrder="0"/>
    </xf>
    <xf borderId="1" fillId="20" fontId="15" numFmtId="0" xfId="0" applyBorder="1" applyFont="1"/>
    <xf borderId="1" fillId="23" fontId="3" numFmtId="0" xfId="0" applyBorder="1" applyFill="1" applyFont="1"/>
    <xf borderId="1" fillId="5" fontId="28" numFmtId="9" xfId="0" applyAlignment="1" applyBorder="1" applyFont="1" applyNumberFormat="1">
      <alignment horizontal="center"/>
    </xf>
    <xf borderId="0" fillId="0" fontId="3" numFmtId="0" xfId="0" applyFont="1"/>
    <xf borderId="16" fillId="6" fontId="11" numFmtId="172" xfId="0" applyBorder="1" applyFont="1" applyNumberFormat="1"/>
    <xf borderId="1" fillId="5" fontId="28" numFmtId="9" xfId="0" applyAlignment="1" applyBorder="1" applyFont="1" applyNumberFormat="1">
      <alignment readingOrder="0"/>
    </xf>
    <xf borderId="1" fillId="23" fontId="12" numFmtId="0" xfId="0" applyBorder="1" applyFont="1"/>
    <xf borderId="2" fillId="6" fontId="11" numFmtId="172" xfId="0" applyBorder="1" applyFont="1" applyNumberFormat="1"/>
    <xf borderId="1" fillId="5" fontId="28" numFmtId="9" xfId="0" applyBorder="1" applyFont="1" applyNumberFormat="1"/>
    <xf borderId="17" fillId="6" fontId="11" numFmtId="172" xfId="0" applyAlignment="1" applyBorder="1" applyFont="1" applyNumberFormat="1">
      <alignment readingOrder="0"/>
    </xf>
    <xf borderId="18" fillId="6" fontId="11" numFmtId="172" xfId="0" applyBorder="1" applyFont="1" applyNumberFormat="1"/>
    <xf borderId="1" fillId="5" fontId="28" numFmtId="9" xfId="0" applyAlignment="1" applyBorder="1" applyFont="1" applyNumberFormat="1">
      <alignment horizontal="center" readingOrder="0"/>
    </xf>
    <xf borderId="19" fillId="24" fontId="6" numFmtId="0" xfId="0" applyAlignment="1" applyBorder="1" applyFill="1" applyFont="1">
      <alignment horizontal="left" readingOrder="0"/>
    </xf>
    <xf borderId="19" fillId="24" fontId="6" numFmtId="0" xfId="0" applyAlignment="1" applyBorder="1" applyFont="1">
      <alignment horizontal="left"/>
    </xf>
    <xf borderId="0" fillId="0" fontId="14" numFmtId="0" xfId="0" applyAlignment="1" applyFont="1">
      <alignment readingOrder="0"/>
    </xf>
    <xf borderId="1" fillId="6" fontId="11" numFmtId="172" xfId="0" applyAlignment="1" applyBorder="1" applyFont="1" applyNumberFormat="1">
      <alignment readingOrder="0"/>
    </xf>
    <xf borderId="7" fillId="19" fontId="7" numFmtId="0" xfId="0" applyBorder="1" applyFont="1"/>
    <xf borderId="2" fillId="25" fontId="7" numFmtId="168" xfId="0" applyBorder="1" applyFill="1" applyFont="1" applyNumberFormat="1"/>
    <xf borderId="2" fillId="25" fontId="29" numFmtId="173" xfId="0" applyBorder="1" applyFont="1" applyNumberFormat="1"/>
    <xf borderId="2" fillId="6" fontId="11" numFmtId="168" xfId="0" applyBorder="1" applyFont="1" applyNumberFormat="1"/>
    <xf borderId="7" fillId="26" fontId="30" numFmtId="0" xfId="0" applyAlignment="1" applyBorder="1" applyFill="1" applyFont="1">
      <alignment horizontal="left"/>
    </xf>
    <xf borderId="1" fillId="23" fontId="16" numFmtId="166" xfId="0" applyBorder="1" applyFont="1" applyNumberFormat="1"/>
    <xf borderId="20" fillId="27" fontId="7" numFmtId="0" xfId="0" applyAlignment="1" applyBorder="1" applyFill="1" applyFont="1">
      <alignment readingOrder="0"/>
    </xf>
    <xf borderId="20" fillId="27" fontId="7" numFmtId="166" xfId="0" applyBorder="1" applyFont="1" applyNumberFormat="1"/>
    <xf borderId="7" fillId="19" fontId="7" numFmtId="0" xfId="0" applyAlignment="1" applyBorder="1" applyFont="1">
      <alignment readingOrder="0"/>
    </xf>
    <xf borderId="16" fillId="0" fontId="3" numFmtId="0" xfId="0" applyBorder="1" applyFont="1"/>
    <xf borderId="16" fillId="28" fontId="3" numFmtId="174" xfId="0" applyBorder="1" applyFill="1" applyFont="1" applyNumberFormat="1"/>
    <xf borderId="2" fillId="29" fontId="3" numFmtId="174" xfId="0" applyBorder="1" applyFill="1" applyFont="1" applyNumberFormat="1"/>
    <xf borderId="2" fillId="30" fontId="3" numFmtId="174" xfId="0" applyBorder="1" applyFill="1" applyFont="1" applyNumberFormat="1"/>
    <xf borderId="20" fillId="27" fontId="7" numFmtId="0" xfId="0" applyBorder="1" applyFont="1"/>
    <xf borderId="7" fillId="26" fontId="31" numFmtId="0" xfId="0" applyAlignment="1" applyBorder="1" applyFont="1">
      <alignment horizontal="left" readingOrder="0"/>
    </xf>
    <xf borderId="2" fillId="6" fontId="11" numFmtId="3" xfId="0" applyBorder="1" applyFont="1" applyNumberFormat="1"/>
    <xf borderId="1" fillId="29" fontId="29" numFmtId="166" xfId="0" applyBorder="1" applyFont="1" applyNumberFormat="1"/>
    <xf borderId="1" fillId="29" fontId="32" numFmtId="3" xfId="0" applyBorder="1" applyFont="1" applyNumberFormat="1"/>
    <xf borderId="7" fillId="31" fontId="30" numFmtId="0" xfId="0" applyAlignment="1" applyBorder="1" applyFill="1" applyFont="1">
      <alignment horizontal="left"/>
    </xf>
    <xf borderId="1" fillId="32" fontId="16" numFmtId="167" xfId="0" applyBorder="1" applyFill="1" applyFont="1" applyNumberFormat="1"/>
    <xf borderId="20" fillId="30" fontId="7" numFmtId="0" xfId="0" applyBorder="1" applyFont="1"/>
    <xf borderId="20" fillId="30" fontId="29" numFmtId="167" xfId="0" applyBorder="1" applyFont="1" applyNumberFormat="1"/>
    <xf borderId="1" fillId="23" fontId="16" numFmtId="1" xfId="0" applyBorder="1" applyFont="1" applyNumberFormat="1"/>
    <xf borderId="1" fillId="23" fontId="16" numFmtId="3" xfId="0" applyBorder="1" applyFont="1" applyNumberFormat="1"/>
    <xf borderId="17" fillId="33" fontId="11" numFmtId="172" xfId="0" applyAlignment="1" applyBorder="1" applyFill="1" applyFont="1" applyNumberFormat="1">
      <alignment readingOrder="0"/>
    </xf>
    <xf borderId="21" fillId="34" fontId="15" numFmtId="0" xfId="0" applyAlignment="1" applyBorder="1" applyFill="1" applyFont="1">
      <alignment horizontal="center"/>
    </xf>
    <xf borderId="22" fillId="34" fontId="15" numFmtId="0" xfId="0" applyAlignment="1" applyBorder="1" applyFont="1">
      <alignment horizontal="center"/>
    </xf>
    <xf borderId="23" fillId="34" fontId="15" numFmtId="0" xfId="0" applyAlignment="1" applyBorder="1" applyFont="1">
      <alignment horizontal="center"/>
    </xf>
    <xf borderId="24" fillId="34" fontId="15" numFmtId="0" xfId="0" applyAlignment="1" applyBorder="1" applyFont="1">
      <alignment horizontal="center"/>
    </xf>
    <xf borderId="25" fillId="23" fontId="7" numFmtId="0" xfId="0" applyAlignment="1" applyBorder="1" applyFont="1">
      <alignment horizontal="left"/>
    </xf>
    <xf borderId="26" fillId="23" fontId="7" numFmtId="0" xfId="0" applyAlignment="1" applyBorder="1" applyFont="1">
      <alignment horizontal="center"/>
    </xf>
    <xf borderId="25" fillId="23" fontId="3" numFmtId="0" xfId="0" applyAlignment="1" applyBorder="1" applyFont="1">
      <alignment horizontal="center"/>
    </xf>
    <xf borderId="25" fillId="23" fontId="16" numFmtId="166" xfId="0" applyBorder="1" applyFont="1" applyNumberFormat="1"/>
    <xf borderId="27" fillId="23" fontId="16" numFmtId="166" xfId="0" applyBorder="1" applyFont="1" applyNumberFormat="1"/>
    <xf borderId="28" fillId="23" fontId="7" numFmtId="0" xfId="0" applyAlignment="1" applyBorder="1" applyFont="1">
      <alignment horizontal="left"/>
    </xf>
    <xf borderId="29" fillId="23" fontId="7" numFmtId="0" xfId="0" applyAlignment="1" applyBorder="1" applyFont="1">
      <alignment horizontal="center"/>
    </xf>
    <xf borderId="28" fillId="23" fontId="3" numFmtId="0" xfId="0" applyAlignment="1" applyBorder="1" applyFont="1">
      <alignment horizontal="center"/>
    </xf>
    <xf borderId="28" fillId="23" fontId="16" numFmtId="166" xfId="0" applyBorder="1" applyFont="1" applyNumberFormat="1"/>
    <xf borderId="30" fillId="23" fontId="16" numFmtId="166" xfId="0" applyBorder="1" applyFont="1" applyNumberFormat="1"/>
    <xf borderId="1" fillId="23" fontId="7" numFmtId="0" xfId="0" applyAlignment="1" applyBorder="1" applyFont="1">
      <alignment horizontal="left"/>
    </xf>
    <xf borderId="1" fillId="23" fontId="3" numFmtId="0" xfId="0" applyAlignment="1" applyBorder="1" applyFont="1">
      <alignment horizontal="center"/>
    </xf>
    <xf borderId="31" fillId="23" fontId="16" numFmtId="166" xfId="0" applyBorder="1" applyFont="1" applyNumberFormat="1"/>
    <xf borderId="32" fillId="23" fontId="7" numFmtId="0" xfId="0" applyAlignment="1" applyBorder="1" applyFont="1">
      <alignment horizontal="left"/>
    </xf>
    <xf borderId="32" fillId="23" fontId="3" numFmtId="0" xfId="0" applyAlignment="1" applyBorder="1" applyFont="1">
      <alignment horizontal="center"/>
    </xf>
    <xf borderId="32" fillId="23" fontId="16" numFmtId="166" xfId="0" applyBorder="1" applyFont="1" applyNumberFormat="1"/>
    <xf borderId="33" fillId="23" fontId="16" numFmtId="166" xfId="0" applyBorder="1" applyFont="1" applyNumberFormat="1"/>
    <xf borderId="34" fillId="23" fontId="7" numFmtId="0" xfId="0" applyAlignment="1" applyBorder="1" applyFont="1">
      <alignment horizontal="center"/>
    </xf>
    <xf borderId="1" fillId="23" fontId="3" numFmtId="0" xfId="0" applyAlignment="1" applyBorder="1" applyFont="1">
      <alignment horizontal="center" readingOrder="0"/>
    </xf>
    <xf borderId="35" fillId="23" fontId="7" numFmtId="0" xfId="0" applyAlignment="1" applyBorder="1" applyFont="1">
      <alignment horizontal="center"/>
    </xf>
    <xf borderId="1" fillId="23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left"/>
    </xf>
    <xf borderId="1" fillId="35" fontId="3" numFmtId="0" xfId="0" applyAlignment="1" applyBorder="1" applyFill="1" applyFont="1">
      <alignment shrinkToFit="0" wrapText="1"/>
    </xf>
    <xf borderId="1" fillId="12" fontId="3" numFmtId="0" xfId="0" applyAlignment="1" applyBorder="1" applyFont="1">
      <alignment shrinkToFit="0" wrapText="1"/>
    </xf>
    <xf borderId="1" fillId="35" fontId="3" numFmtId="0" xfId="0" applyBorder="1" applyFont="1"/>
    <xf borderId="1" fillId="12" fontId="3" numFmtId="0" xfId="0" applyBorder="1" applyFont="1"/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  <xf borderId="1" fillId="36" fontId="3" numFmtId="0" xfId="0" applyAlignment="1" applyBorder="1" applyFill="1" applyFont="1">
      <alignment shrinkToFit="0" wrapText="1"/>
    </xf>
    <xf borderId="1" fillId="37" fontId="3" numFmtId="0" xfId="0" applyAlignment="1" applyBorder="1" applyFill="1" applyFont="1">
      <alignment shrinkToFit="0" wrapText="1"/>
    </xf>
    <xf borderId="0" fillId="0" fontId="16" numFmtId="9" xfId="0" applyFont="1" applyNumberFormat="1"/>
    <xf borderId="0" fillId="0" fontId="3" numFmtId="9" xfId="0" applyFont="1" applyNumberFormat="1"/>
    <xf borderId="1" fillId="36" fontId="3" numFmtId="0" xfId="0" applyBorder="1" applyFont="1"/>
    <xf borderId="1" fillId="37" fontId="3" numFmtId="9" xfId="0" applyBorder="1" applyFont="1" applyNumberFormat="1"/>
    <xf borderId="0" fillId="0" fontId="3" numFmtId="0" xfId="0" applyAlignment="1" applyFont="1">
      <alignment horizontal="left"/>
    </xf>
    <xf borderId="0" fillId="0" fontId="3" numFmtId="175" xfId="0" applyAlignment="1" applyFont="1" applyNumberFormat="1">
      <alignment horizontal="center"/>
    </xf>
    <xf borderId="0" fillId="0" fontId="3" numFmtId="176" xfId="0" applyAlignment="1" applyFont="1" applyNumberFormat="1">
      <alignment horizontal="center"/>
    </xf>
    <xf borderId="1" fillId="35" fontId="16" numFmtId="167" xfId="0" applyBorder="1" applyFont="1" applyNumberFormat="1"/>
    <xf borderId="1" fillId="35" fontId="3" numFmtId="167" xfId="0" applyBorder="1" applyFont="1" applyNumberFormat="1"/>
    <xf borderId="1" fillId="12" fontId="3" numFmtId="167" xfId="0" applyBorder="1" applyFont="1" applyNumberFormat="1"/>
    <xf borderId="0" fillId="0" fontId="3" numFmtId="167" xfId="0" applyFont="1" applyNumberFormat="1"/>
    <xf borderId="1" fillId="12" fontId="3" numFmtId="166" xfId="0" applyBorder="1" applyFont="1" applyNumberFormat="1"/>
    <xf borderId="0" fillId="0" fontId="16" numFmtId="167" xfId="0" applyFont="1" applyNumberFormat="1"/>
    <xf borderId="1" fillId="12" fontId="29" numFmtId="167" xfId="0" applyBorder="1" applyFont="1" applyNumberFormat="1"/>
    <xf borderId="1" fillId="36" fontId="7" numFmtId="167" xfId="0" applyBorder="1" applyFont="1" applyNumberFormat="1"/>
    <xf borderId="1" fillId="37" fontId="3" numFmtId="167" xfId="0" applyBorder="1" applyFont="1" applyNumberFormat="1"/>
    <xf borderId="0" fillId="0" fontId="3" numFmtId="175" xfId="0" applyFont="1" applyNumberFormat="1"/>
    <xf borderId="1" fillId="37" fontId="3" numFmtId="0" xfId="0" applyBorder="1" applyFont="1"/>
    <xf borderId="1" fillId="38" fontId="15" numFmtId="0" xfId="0" applyAlignment="1" applyBorder="1" applyFill="1" applyFont="1">
      <alignment shrinkToFit="0" vertical="center" wrapText="1"/>
    </xf>
    <xf borderId="0" fillId="0" fontId="3" numFmtId="3" xfId="0" applyFont="1" applyNumberFormat="1"/>
  </cellXfs>
  <cellStyles count="1">
    <cellStyle xfId="0" name="Normal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KM, COSTO e CORRETTO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Attenuazione!$A$1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Attenuazione!$A$2:$A$1001</c:f>
            </c:strRef>
          </c:cat>
          <c:val>
            <c:numRef>
              <c:f>Attenuazione!$A$2:$A$1001</c:f>
              <c:numCache/>
            </c:numRef>
          </c:val>
          <c:smooth val="0"/>
        </c:ser>
        <c:ser>
          <c:idx val="1"/>
          <c:order val="1"/>
          <c:tx>
            <c:strRef>
              <c:f>Attenuazione!$B$1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Attenuazione!$A$2:$A$1001</c:f>
            </c:strRef>
          </c:cat>
          <c:val>
            <c:numRef>
              <c:f>Attenuazione!$B$2:$B$1001</c:f>
              <c:numCache/>
            </c:numRef>
          </c:val>
          <c:smooth val="0"/>
        </c:ser>
        <c:ser>
          <c:idx val="2"/>
          <c:order val="2"/>
          <c:tx>
            <c:strRef>
              <c:f>Attenuazione!$C$1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Attenuazione!$A$2:$A$1001</c:f>
            </c:strRef>
          </c:cat>
          <c:val>
            <c:numRef>
              <c:f>Attenuazione!$C$2:$C$1001</c:f>
              <c:numCache/>
            </c:numRef>
          </c:val>
          <c:smooth val="0"/>
        </c:ser>
        <c:axId val="811276717"/>
        <c:axId val="1942580936"/>
      </c:lineChart>
      <c:catAx>
        <c:axId val="8112767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KM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1942580936"/>
      </c:catAx>
      <c:valAx>
        <c:axId val="19425809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1276717"/>
        <c:majorUnit val="150.0"/>
        <c:minorUnit val="50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v>Non corretti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'Copia di Tour List'!$E$5:$E$45</c:f>
            </c:numRef>
          </c:xVal>
          <c:yVal>
            <c:numRef>
              <c:f>'Copia di Tour List'!$R$5:$R$45</c:f>
              <c:numCache/>
            </c:numRef>
          </c:yVal>
        </c:ser>
        <c:ser>
          <c:idx val="1"/>
          <c:order val="1"/>
          <c:tx>
            <c:v>Corretti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'Copia di Tour List'!$E$5:$E$45</c:f>
            </c:numRef>
          </c:xVal>
          <c:yVal>
            <c:numRef>
              <c:f>'Copia di Tour List'!$S$5:$S$45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453732"/>
        <c:axId val="1647050112"/>
      </c:scatterChart>
      <c:valAx>
        <c:axId val="15134537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47050112"/>
      </c:valAx>
      <c:valAx>
        <c:axId val="16470501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\ &quot;€&quot;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13453732"/>
      </c:valAx>
    </c:plotArea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581025</xdr:colOff>
      <xdr:row>0</xdr:row>
      <xdr:rowOff>180975</xdr:rowOff>
    </xdr:from>
    <xdr:ext cx="5181600" cy="3209925"/>
    <xdr:graphicFrame>
      <xdr:nvGraphicFramePr>
        <xdr:cNvPr id="1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53</xdr:col>
      <xdr:colOff>1514475</xdr:colOff>
      <xdr:row>32</xdr:row>
      <xdr:rowOff>9525</xdr:rowOff>
    </xdr:from>
    <xdr:ext cx="5267325" cy="31718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krlgdoGz8TTT9tCXxGAonz6ivy-VnQm3hGKC9dI5d1A/edit?usp=drivesdk" TargetMode="External"/><Relationship Id="rId42" Type="http://schemas.openxmlformats.org/officeDocument/2006/relationships/hyperlink" Target="https://docs.google.com/document/d/1TJkUZYSVRst5b5mQa1vl-cm3iVKWAVDKZ0bx7W1-kpk/edit?usp=drivesdk" TargetMode="External"/><Relationship Id="rId41" Type="http://schemas.openxmlformats.org/officeDocument/2006/relationships/hyperlink" Target="https://docs.google.com/document/d/1y4yaHj4ZrPrIatpUnTxqJA15YnATpcUH4hqbqJDlAY0/edit?usp=drivesdk" TargetMode="External"/><Relationship Id="rId44" Type="http://schemas.openxmlformats.org/officeDocument/2006/relationships/hyperlink" Target="https://docs.google.com/document/d/1m_IG0tKeo4Nfl7W7D2XITfiSKCQ3JtK8CqMOYXK54cE/edit?usp=drivesdk" TargetMode="External"/><Relationship Id="rId43" Type="http://schemas.openxmlformats.org/officeDocument/2006/relationships/hyperlink" Target="https://docs.google.com/document/d/1T-kChPPHEl3XSKmbNeo2s5x-zEWyyY-RNM1MaE_838k/edit?usp=drivesdk" TargetMode="External"/><Relationship Id="rId46" Type="http://schemas.openxmlformats.org/officeDocument/2006/relationships/hyperlink" Target="https://docs.google.com/document/d/1RKP4PibwXEYT1RTSMyUEDshWrLpx-gUCKylNNGjgYSk/edit?usp=drivesdk" TargetMode="External"/><Relationship Id="rId45" Type="http://schemas.openxmlformats.org/officeDocument/2006/relationships/hyperlink" Target="https://docs.google.com/document/d/17pur8qwdAcqqVMN6YFb8cgHixMycy6A49gUxwvp1Jfs/edit?usp=drivesdk" TargetMode="External"/><Relationship Id="rId107" Type="http://schemas.openxmlformats.org/officeDocument/2006/relationships/hyperlink" Target="https://docs.google.com/document/d/1KJuXcugjcuihuP2sWEtcjfXKjYqn5wRq9oAYJWhrM-0/edit?usp=drivesdk" TargetMode="External"/><Relationship Id="rId106" Type="http://schemas.openxmlformats.org/officeDocument/2006/relationships/hyperlink" Target="https://docs.google.com/document/d/1DAqZJqSBnYJEmUXVVzBMA6Hbrm6gK5H_uqxOgTWHza0/edit?usp=drivesdk" TargetMode="External"/><Relationship Id="rId105" Type="http://schemas.openxmlformats.org/officeDocument/2006/relationships/hyperlink" Target="https://docs.google.com/document/d/1ci1_JjqcdXly3K_tsstTwqNrza3YjtNkWJpsXS_cPBU/edit?usp=drivesdk" TargetMode="External"/><Relationship Id="rId104" Type="http://schemas.openxmlformats.org/officeDocument/2006/relationships/hyperlink" Target="https://docs.google.com/document/d/168HRV9PPEQ7SS7IiRfeGuQ8UueuJ1ZAiLQ6eJfWy8iE/edit?usp=drivesdk" TargetMode="External"/><Relationship Id="rId109" Type="http://schemas.openxmlformats.org/officeDocument/2006/relationships/hyperlink" Target="https://docs.google.com/document/d/1sQ_ZohgtbjEgqVIRkVa7WOEH__K9BUNtpgRkn4FQDWY/edit?usp=drivesdk" TargetMode="External"/><Relationship Id="rId108" Type="http://schemas.openxmlformats.org/officeDocument/2006/relationships/hyperlink" Target="https://docs.google.com/document/d/1-9__C899TK8sB8GpTn-jhkbo9fYzx0cvbP3TbrAVHBw/edit?usp=drivesdk" TargetMode="External"/><Relationship Id="rId48" Type="http://schemas.openxmlformats.org/officeDocument/2006/relationships/hyperlink" Target="https://docs.google.com/document/d/1v9Jqy6wcUnUcP2L8dSgi6ZDpTwbQbboidJo4ZaFIRf8/edit?usp=drivesdk" TargetMode="External"/><Relationship Id="rId47" Type="http://schemas.openxmlformats.org/officeDocument/2006/relationships/hyperlink" Target="https://docs.google.com/document/d/1_EZ6494TMQPWDAlNiw1CedE16nM5tRU4wd0t4HcjPoU/edit?usp=drivesdk" TargetMode="External"/><Relationship Id="rId49" Type="http://schemas.openxmlformats.org/officeDocument/2006/relationships/hyperlink" Target="https://docs.google.com/document/d/1R3KEtpHymu_y5zmUDvJ2S4ZzLlotkvYUwASXuN30bjo/edit?usp=drivesdk" TargetMode="External"/><Relationship Id="rId103" Type="http://schemas.openxmlformats.org/officeDocument/2006/relationships/hyperlink" Target="https://docs.google.com/document/d/1ZnK-z00kupRGAM6ShSD87ED7YN73KR76DxK0tahcrb8/edit?usp=drivesdk" TargetMode="External"/><Relationship Id="rId102" Type="http://schemas.openxmlformats.org/officeDocument/2006/relationships/hyperlink" Target="https://docs.google.com/document/d/1t1490rZvjZxqAw6YZlZrZ_Vq0GHN5UfAT5RWRUrGJ3U/edit?usp=drivesdk" TargetMode="External"/><Relationship Id="rId101" Type="http://schemas.openxmlformats.org/officeDocument/2006/relationships/hyperlink" Target="https://docs.google.com/document/d/1FlkxTNBUZB3oKREvcBLhvgEHgjqz5DkXLTtimi0QjaY/edit?usp=drivesdk" TargetMode="External"/><Relationship Id="rId100" Type="http://schemas.openxmlformats.org/officeDocument/2006/relationships/hyperlink" Target="https://docs.google.com/document/d/1Fpg-98LWSm3AUzdVAIgCBR2Pk2GkQETo2fLWjCYkewE/edit?usp=drivesdk" TargetMode="External"/><Relationship Id="rId31" Type="http://schemas.openxmlformats.org/officeDocument/2006/relationships/hyperlink" Target="https://docs.google.com/document/d/12-OelmxSQssdwS-JprYE42fS5HhC_nC0sSbfg2zP8qA/edit?usp=drivesdk" TargetMode="External"/><Relationship Id="rId30" Type="http://schemas.openxmlformats.org/officeDocument/2006/relationships/hyperlink" Target="https://docs.google.com/document/d/1yld9tQ1_kNjybvw0V-5RwO8R15bRYrgTEAMR30Ixg1Y/edit?usp=drivesdk" TargetMode="External"/><Relationship Id="rId33" Type="http://schemas.openxmlformats.org/officeDocument/2006/relationships/hyperlink" Target="https://docs.google.com/document/d/1kgxMne3qdXaf3tNSJQol3f60s1YaG5Q9YaVJGTnUGSc/edit?usp=drivesdk" TargetMode="External"/><Relationship Id="rId32" Type="http://schemas.openxmlformats.org/officeDocument/2006/relationships/hyperlink" Target="https://docs.google.com/document/d/1lAEPMBilU4jfRCwAP2xiMsxg9FLMwcR4LMjKAgBN08g/edit?usp=drivesdk" TargetMode="External"/><Relationship Id="rId35" Type="http://schemas.openxmlformats.org/officeDocument/2006/relationships/hyperlink" Target="https://docs.google.com/document/d/1yqDqXyyuFZrs9o04o8eiZx6VeP8Cl5Codmd9iZFXkxQ/edit?usp=drivesdk" TargetMode="External"/><Relationship Id="rId34" Type="http://schemas.openxmlformats.org/officeDocument/2006/relationships/hyperlink" Target="https://docs.google.com/document/d/1dfxSz1zxGuxg-kwqiRW8BC-g8FOB6bq1zivZhdngk0w/edit?usp=drivesdk" TargetMode="External"/><Relationship Id="rId37" Type="http://schemas.openxmlformats.org/officeDocument/2006/relationships/hyperlink" Target="https://docs.google.com/document/d/1WJIayU3LusH_ZBZiHYZYtiqmY4cXSQfOyrzGkV0h9B4/edit?usp=drivesdk" TargetMode="External"/><Relationship Id="rId36" Type="http://schemas.openxmlformats.org/officeDocument/2006/relationships/hyperlink" Target="https://docs.google.com/document/d/1NIka7xw960RETGMUexilfELq2FC-m9qdE9aLyRhP2pE/edit?usp=drivesdk" TargetMode="External"/><Relationship Id="rId39" Type="http://schemas.openxmlformats.org/officeDocument/2006/relationships/hyperlink" Target="https://docs.google.com/document/d/1JyKm2xJDFSObNr2NnV8OIEm9RFCdYnvdKyv1eTZxQLw/edit?usp=drivesdk" TargetMode="External"/><Relationship Id="rId38" Type="http://schemas.openxmlformats.org/officeDocument/2006/relationships/hyperlink" Target="https://docs.google.com/document/d/17ZvQxpUKur0v2uA-01cIHg5J1jMpLI_3rnf-msNtP48/edit?usp=drivesdk" TargetMode="External"/><Relationship Id="rId20" Type="http://schemas.openxmlformats.org/officeDocument/2006/relationships/hyperlink" Target="https://docs.google.com/document/d/1k5oAhsbxVq38MKIeGX6jiSZ3LFEgM7qZ1oRZM60xKiA/edit?usp=drivesdk" TargetMode="External"/><Relationship Id="rId22" Type="http://schemas.openxmlformats.org/officeDocument/2006/relationships/hyperlink" Target="https://docs.google.com/document/d/1qvr4JFJ-CSc8BBvUiqp5MXmzEUelnT15Yb8B_48n61w/edit?usp=drivesdk" TargetMode="External"/><Relationship Id="rId21" Type="http://schemas.openxmlformats.org/officeDocument/2006/relationships/hyperlink" Target="https://docs.google.com/document/d/1gH-oAndu6X0uN_DZeB6r1NO4Xs3Zd6PalM8FOX_812A/edit?usp=drivesdk" TargetMode="External"/><Relationship Id="rId24" Type="http://schemas.openxmlformats.org/officeDocument/2006/relationships/hyperlink" Target="https://docs.google.com/document/d/1_flYYrbNfpWai_cBOmH2nZ5rg1aEJ4GKhtZq61rFDo0/edit?usp=drivesdk" TargetMode="External"/><Relationship Id="rId23" Type="http://schemas.openxmlformats.org/officeDocument/2006/relationships/hyperlink" Target="https://docs.google.com/document/d/14An-KTWCesFnSvy8YElBGjuLFKkJl4FDgVTx3UkfwiA/edit?usp=drivesdk" TargetMode="External"/><Relationship Id="rId129" Type="http://schemas.openxmlformats.org/officeDocument/2006/relationships/hyperlink" Target="https://docs.google.com/document/d/1JvRE4BRv8COjQK6uutOCIEabXpy5DbyAQCCv2TU5p08/edit?usp=drivesdk" TargetMode="External"/><Relationship Id="rId128" Type="http://schemas.openxmlformats.org/officeDocument/2006/relationships/hyperlink" Target="https://docs.google.com/document/d/1AHPBmnIan4EPZu7tRixRRrv2A6JwyBUl7Hzgat-Qak4/edit?usp=drivesdk" TargetMode="External"/><Relationship Id="rId127" Type="http://schemas.openxmlformats.org/officeDocument/2006/relationships/hyperlink" Target="https://docs.google.com/document/d/1gNAwSxVh8z4HdOFiVsVZBiK7BOJV17EephNrNbYOUJo/edit?usp=drivesdk" TargetMode="External"/><Relationship Id="rId126" Type="http://schemas.openxmlformats.org/officeDocument/2006/relationships/hyperlink" Target="https://docs.google.com/document/d/145DPrlykCpoHUON85gPpt1J-IAun6deseGHI1q4y9fc/edit?usp=drivesdk" TargetMode="External"/><Relationship Id="rId26" Type="http://schemas.openxmlformats.org/officeDocument/2006/relationships/hyperlink" Target="https://docs.google.com/document/d/1UPVb9WINU5G34QXps8GGig28G21izizL0jmBRrKIrs0/edit?usp=drivesdk" TargetMode="External"/><Relationship Id="rId121" Type="http://schemas.openxmlformats.org/officeDocument/2006/relationships/hyperlink" Target="https://docs.google.com/document/d/1vGS-JP9pTttilI5dtSkyHZ6sQKi5thX5uSxKg5uTtg4/edit?usp=drivesdk" TargetMode="External"/><Relationship Id="rId25" Type="http://schemas.openxmlformats.org/officeDocument/2006/relationships/hyperlink" Target="https://docs.google.com/document/d/1xaW990GKjFWzSD-9DSGFNTPW_Y9blT79T5jRMHCrXA0/edit?usp=drivesdk" TargetMode="External"/><Relationship Id="rId120" Type="http://schemas.openxmlformats.org/officeDocument/2006/relationships/hyperlink" Target="https://docs.google.com/document/d/1d0aKo5h2G1GZllaL0H8fvBD0XDtl-10VEeUy2KG1As4/edit?usp=drivesdk" TargetMode="External"/><Relationship Id="rId28" Type="http://schemas.openxmlformats.org/officeDocument/2006/relationships/hyperlink" Target="https://docs.google.com/document/d/1122aPVTVzY0ga9gR2zpvvxjl5y4qahQcTJ5Xxo7zg6c/edit?usp=drivesdk" TargetMode="External"/><Relationship Id="rId27" Type="http://schemas.openxmlformats.org/officeDocument/2006/relationships/hyperlink" Target="https://docs.google.com/document/d/1Ukn6E4sUDQXBfJvkc0xNsjG1RYL_d5HhCMyGRVEUBaM/edit?usp=drivesdk" TargetMode="External"/><Relationship Id="rId125" Type="http://schemas.openxmlformats.org/officeDocument/2006/relationships/hyperlink" Target="https://docs.google.com/document/d/1LGqOIdzPhNFYN7pvQfYT9nxhcqj21VksQq-gnzjmS9Q/edit?usp=drivesdk" TargetMode="External"/><Relationship Id="rId29" Type="http://schemas.openxmlformats.org/officeDocument/2006/relationships/hyperlink" Target="https://docs.google.com/document/d/1ttEQOFsn8UC1PCASpUcK19AXoh4mmqk2I4BNnNg-gTc/edit?usp=drivesdk" TargetMode="External"/><Relationship Id="rId124" Type="http://schemas.openxmlformats.org/officeDocument/2006/relationships/hyperlink" Target="https://docs.google.com/document/d/110lZjZlk2kWbKzdULyeBS2fEuTGso0t66rbBGdWy5zQ/edit?usp=drivesdk" TargetMode="External"/><Relationship Id="rId123" Type="http://schemas.openxmlformats.org/officeDocument/2006/relationships/hyperlink" Target="https://docs.google.com/document/d/1RGvbUW4_may8qFB5TYUyB87mIlc5jRhDVReG7PXHZL4/edit?usp=drivesdk" TargetMode="External"/><Relationship Id="rId122" Type="http://schemas.openxmlformats.org/officeDocument/2006/relationships/hyperlink" Target="https://docs.google.com/document/d/1EEX2xmwxa_gORWBxyJCi20oNQWwXI4oE7fhVgka_miQ/edit?usp=drivesdk" TargetMode="External"/><Relationship Id="rId95" Type="http://schemas.openxmlformats.org/officeDocument/2006/relationships/hyperlink" Target="https://docs.google.com/document/d/1di0omIzhbljdVVXy35ngbcB_M29WAuFabZ0rahfFQYQ/edit?usp=drivesdk" TargetMode="External"/><Relationship Id="rId94" Type="http://schemas.openxmlformats.org/officeDocument/2006/relationships/hyperlink" Target="https://docs.google.com/document/d/1v12KvX2TV07I-NnYQAHMQKLjn0f1drJmR9-SSJjOWYI/edit?usp=drivesdk" TargetMode="External"/><Relationship Id="rId97" Type="http://schemas.openxmlformats.org/officeDocument/2006/relationships/hyperlink" Target="https://docs.google.com/document/d/10oQEwwtpaFcJzuK1T3bPakWu5Zee1Zayw1t804A4vGg/edit?usp=drivesdk" TargetMode="External"/><Relationship Id="rId96" Type="http://schemas.openxmlformats.org/officeDocument/2006/relationships/hyperlink" Target="https://docs.google.com/document/d/1EVjWx-fxaWUIDZxiQjjdSzohAlwOIgllGO1f5bNqi2E/edit?usp=drivesdk" TargetMode="External"/><Relationship Id="rId11" Type="http://schemas.openxmlformats.org/officeDocument/2006/relationships/hyperlink" Target="https://docs.google.com/document/d/1eXSLJ3db5H-qixd9hc5aDCnzI0JlbPoy-FoB3KvdvMU/edit?usp=drivesdk" TargetMode="External"/><Relationship Id="rId99" Type="http://schemas.openxmlformats.org/officeDocument/2006/relationships/hyperlink" Target="https://docs.google.com/document/d/1m1BMUxtaDPjIW0lIGFyDaOxL7G2D3cQJd483EMndLD8/edit?usp=drivesdk" TargetMode="External"/><Relationship Id="rId10" Type="http://schemas.openxmlformats.org/officeDocument/2006/relationships/hyperlink" Target="https://docs.google.com/document/d/1HgrHJl9zE0qWfFUcOOBGptsSO4wrGgiNNDvjuoWCx2o/edit?usp=drivesdk" TargetMode="External"/><Relationship Id="rId98" Type="http://schemas.openxmlformats.org/officeDocument/2006/relationships/hyperlink" Target="https://docs.google.com/document/d/1o4fr9sX1Tt_b0IAp5A8zXNIVW2cJVm3duN_-aGdkNxA/edit?usp=drivesdk" TargetMode="External"/><Relationship Id="rId13" Type="http://schemas.openxmlformats.org/officeDocument/2006/relationships/hyperlink" Target="https://docs.google.com/document/d/16uqc7Up-sLiT7DGiFcMnRMhDxau1EmvQz0QkYS2JplA/edit?usp=drivesdk" TargetMode="External"/><Relationship Id="rId12" Type="http://schemas.openxmlformats.org/officeDocument/2006/relationships/hyperlink" Target="https://docs.google.com/document/d/1Hn_4YKUIkEaY-YafIbHU_biHQbv0eSJWhlORRoxGooY/edit?usp=drivesdk" TargetMode="External"/><Relationship Id="rId91" Type="http://schemas.openxmlformats.org/officeDocument/2006/relationships/hyperlink" Target="https://docs.google.com/document/d/1AUGMbQDVIIXwEWXrsuLuwb7wBYlAg2ArWJEXiMuiO_A/edit?usp=drivesdk" TargetMode="External"/><Relationship Id="rId90" Type="http://schemas.openxmlformats.org/officeDocument/2006/relationships/hyperlink" Target="https://docs.google.com/document/d/1JBQHg8zJuVecle51SjMArvIJOP-T1856PyWL3nLDZ3s/edit?usp=drivesdk" TargetMode="External"/><Relationship Id="rId93" Type="http://schemas.openxmlformats.org/officeDocument/2006/relationships/hyperlink" Target="https://docs.google.com/document/d/1s6XSOd8tM-Q74YBV72y5XaZ7bkdaZcT2VsKbE3eLRDU/edit?usp=drivesdk" TargetMode="External"/><Relationship Id="rId92" Type="http://schemas.openxmlformats.org/officeDocument/2006/relationships/hyperlink" Target="https://docs.google.com/document/d/1XADovtNCVtqiUq0R1PqeKeAjzgu3MzVGOiO4wfubAng/edit?usp=drivesdk" TargetMode="External"/><Relationship Id="rId118" Type="http://schemas.openxmlformats.org/officeDocument/2006/relationships/hyperlink" Target="https://docs.google.com/document/d/1GBKTOYbjClw9zgYt_EwLpwtqBHUzlvMF68RTopyJl8Q/edit?usp=drivesdk" TargetMode="External"/><Relationship Id="rId117" Type="http://schemas.openxmlformats.org/officeDocument/2006/relationships/hyperlink" Target="https://docs.google.com/document/d/1Flnm5V0wntUhaHnQQo6QP5pBpaBf0U7A1qfPE1YBkU4/edit?usp=drivesdk" TargetMode="External"/><Relationship Id="rId116" Type="http://schemas.openxmlformats.org/officeDocument/2006/relationships/hyperlink" Target="https://docs.google.com/document/d/1YtEaGtdrIB9qaSdpLUgu3aMpib8Vmf09fWinB-11uss/edit?usp=drivesdk" TargetMode="External"/><Relationship Id="rId115" Type="http://schemas.openxmlformats.org/officeDocument/2006/relationships/hyperlink" Target="https://docs.google.com/document/d/1Oj85i_mJoo0Ub44MIWfpCRrsGOuk_zOwq9EfyRM60HI/edit?usp=drivesdk" TargetMode="External"/><Relationship Id="rId119" Type="http://schemas.openxmlformats.org/officeDocument/2006/relationships/hyperlink" Target="https://docs.google.com/document/d/15DB7h0g-J_rAUPH5cyMVks-sCF7SsdPE0Qu2ogdNxeM/edit?usp=drivesdk" TargetMode="External"/><Relationship Id="rId15" Type="http://schemas.openxmlformats.org/officeDocument/2006/relationships/hyperlink" Target="https://docs.google.com/document/d/1Gyx934oyxLFXdKuvmYdJVU5ry97wrg3zzT0cAZX5rAU/edit?usp=drivesdk" TargetMode="External"/><Relationship Id="rId110" Type="http://schemas.openxmlformats.org/officeDocument/2006/relationships/hyperlink" Target="https://docs.google.com/document/d/1lpVeLcoHXh2RD6CoAMJFsrziVSLThIG2VEDhIjEs82o/edit?usp=drivesdk" TargetMode="External"/><Relationship Id="rId14" Type="http://schemas.openxmlformats.org/officeDocument/2006/relationships/hyperlink" Target="https://docs.google.com/document/d/1HMxBE_xi-Geic86RU16VXYxrloaITg9s-608ogf9Y3w/edit?usp=drivesdk" TargetMode="External"/><Relationship Id="rId17" Type="http://schemas.openxmlformats.org/officeDocument/2006/relationships/hyperlink" Target="https://docs.google.com/document/d/1ShEetJKAlcUUl0XYJPbLclbf2ulJnbbcuui48gRY9K4/edit?usp=drivesdk" TargetMode="External"/><Relationship Id="rId16" Type="http://schemas.openxmlformats.org/officeDocument/2006/relationships/hyperlink" Target="https://docs.google.com/document/d/1Wm4A-vWybeMF4hygFBmUIk559UXNbh99IkovkgeBVio/edit?usp=drivesdk" TargetMode="External"/><Relationship Id="rId19" Type="http://schemas.openxmlformats.org/officeDocument/2006/relationships/hyperlink" Target="https://docs.google.com/document/d/1qnIHWQ_SS9aQNWDm_g3Ii82qwYP9QZB6-aktSQ0I8xY/edit?usp=drivesdk" TargetMode="External"/><Relationship Id="rId114" Type="http://schemas.openxmlformats.org/officeDocument/2006/relationships/hyperlink" Target="https://docs.google.com/document/d/1k9jRKxNrujA6iG27ublFS_L-vvSLZKvIrvdcFgY5eJQ/edit?usp=drivesdk" TargetMode="External"/><Relationship Id="rId18" Type="http://schemas.openxmlformats.org/officeDocument/2006/relationships/hyperlink" Target="https://docs.google.com/document/d/1SeafGxO8lhnhCKgd-VQUNqBFpU5jiWr8vcpysSNGr8k/edit?usp=drivesdk" TargetMode="External"/><Relationship Id="rId113" Type="http://schemas.openxmlformats.org/officeDocument/2006/relationships/hyperlink" Target="https://docs.google.com/document/d/1NG1RiGdEhKWwHeevsl9HRJkDyMrtVbOI-so6evGDVJU/edit?usp=drivesdk" TargetMode="External"/><Relationship Id="rId112" Type="http://schemas.openxmlformats.org/officeDocument/2006/relationships/hyperlink" Target="https://docs.google.com/document/d/1RBcuH_fepZhzKOEZSNf_Gte38v-gQmD5e_KYu48Wx1g/edit?usp=drivesdk" TargetMode="External"/><Relationship Id="rId111" Type="http://schemas.openxmlformats.org/officeDocument/2006/relationships/hyperlink" Target="https://docs.google.com/document/d/1yfHSiG7c6CsdEK28kLmtOaOEpIkUSsG1o1FXDsbxwX0/edit?usp=drivesdk" TargetMode="External"/><Relationship Id="rId84" Type="http://schemas.openxmlformats.org/officeDocument/2006/relationships/hyperlink" Target="https://docs.google.com/document/d/10UVDoN8LRk1OiYbL45rJGT5nxSW-bZJmlkLTPT25Rxg/edit?usp=drivesdk" TargetMode="External"/><Relationship Id="rId83" Type="http://schemas.openxmlformats.org/officeDocument/2006/relationships/hyperlink" Target="https://docs.google.com/document/d/136elHAzVM7InWhAcZrCUi7QadizPaNK4KFG-WLGMg-I/edit?usp=drivesdk" TargetMode="External"/><Relationship Id="rId86" Type="http://schemas.openxmlformats.org/officeDocument/2006/relationships/hyperlink" Target="https://docs.google.com/document/d/1EKSo69rlMoJ6crl993VIXw0oTkN6i9LlrPoYL9rgu3U/edit?usp=drivesdk" TargetMode="External"/><Relationship Id="rId85" Type="http://schemas.openxmlformats.org/officeDocument/2006/relationships/hyperlink" Target="https://docs.google.com/document/d/15nQnt_LCKjKk77WRgbryzjqKR9BNSz4BDLQIFNkoVeY/edit?usp=drivesdk" TargetMode="External"/><Relationship Id="rId88" Type="http://schemas.openxmlformats.org/officeDocument/2006/relationships/hyperlink" Target="https://docs.google.com/document/d/1FCZgzNphgUOdpn7D3KDk-bgiJMEAcPAgufZx3XW_UUQ/edit?usp=drivesdk" TargetMode="External"/><Relationship Id="rId87" Type="http://schemas.openxmlformats.org/officeDocument/2006/relationships/hyperlink" Target="https://docs.google.com/document/d/1zXUD7TSTxCUkOz9GF6RB-1prbBnwh9jusc2OHDwJlBM/edit?usp=drivesdk" TargetMode="External"/><Relationship Id="rId89" Type="http://schemas.openxmlformats.org/officeDocument/2006/relationships/hyperlink" Target="https://docs.google.com/document/d/1GcL_-h_yXRsNzha7W237chcvXWcQos0chxBzFu5Qr0A/edit?usp=drivesdk" TargetMode="External"/><Relationship Id="rId80" Type="http://schemas.openxmlformats.org/officeDocument/2006/relationships/hyperlink" Target="https://docs.google.com/document/d/1VRdZshja8EXmTCvsiANfjyLCgqsTnhxnp-DPMGq6iMQ/edit?usp=drivesdk" TargetMode="External"/><Relationship Id="rId82" Type="http://schemas.openxmlformats.org/officeDocument/2006/relationships/hyperlink" Target="https://docs.google.com/document/d/1fYEwjNmlLUcL6NUhDyi87MaQCmf3nQQOKVVUq1d0hB0/edit?usp=drivesdk" TargetMode="External"/><Relationship Id="rId81" Type="http://schemas.openxmlformats.org/officeDocument/2006/relationships/hyperlink" Target="https://docs.google.com/document/d/1UaKeNKFdvm4Xy3MIXdmGmczS9eTHw5iQizgFymDbqeY/edit?usp=drivesdk" TargetMode="External"/><Relationship Id="rId1" Type="http://schemas.openxmlformats.org/officeDocument/2006/relationships/hyperlink" Target="https://docs.google.com/document/d/1Ux04QH-POEJAv-hxb3j95oA3h9n8WKv9MJtxXn0ebtE/edit?usp=drivesdk" TargetMode="External"/><Relationship Id="rId2" Type="http://schemas.openxmlformats.org/officeDocument/2006/relationships/hyperlink" Target="https://docs.google.com/document/d/1q0FuAuMEE6HYeVTbUiYiI4EQedN6oX7q8zDc-pcnlT8/edit?usp=drivesdk" TargetMode="External"/><Relationship Id="rId3" Type="http://schemas.openxmlformats.org/officeDocument/2006/relationships/hyperlink" Target="https://docs.google.com/document/d/1RGpvI1GW4-sqj5h_f1y2EwakEbhIjrpGtCmL9zMiFPs/edit?usp=drivesdk" TargetMode="External"/><Relationship Id="rId4" Type="http://schemas.openxmlformats.org/officeDocument/2006/relationships/hyperlink" Target="https://docs.google.com/document/d/1iA16qTkmkjjvfHaj-o93aGIx5qJlH1VgVYsW8cSI1VE/edit?usp=drivesdk" TargetMode="External"/><Relationship Id="rId9" Type="http://schemas.openxmlformats.org/officeDocument/2006/relationships/hyperlink" Target="https://docs.google.com/document/d/1Cn7x0-NlgoSpyQjgedYwgLnUWJjfGBJ0HoSy4us4D9g/edit?usp=drivesdk" TargetMode="External"/><Relationship Id="rId143" Type="http://schemas.openxmlformats.org/officeDocument/2006/relationships/hyperlink" Target="https://docs.google.com/document/d/1rjQtjO5-JsNjgKF51AE61v_HXtLjmdaag0EUiUmz9vs/edit?usp=drivesdk" TargetMode="External"/><Relationship Id="rId142" Type="http://schemas.openxmlformats.org/officeDocument/2006/relationships/hyperlink" Target="https://docs.google.com/document/d/1c94yHLhENadvaINXUj0748PKd303imWzdAc8HnpRMpM/edit?usp=drivesdk" TargetMode="External"/><Relationship Id="rId141" Type="http://schemas.openxmlformats.org/officeDocument/2006/relationships/hyperlink" Target="https://docs.google.com/document/d/1w_6skH834x6ryOfmzYiGdVvyGJHOsxAtBRZevSKB1Qc/edit?usp=drivesdk" TargetMode="External"/><Relationship Id="rId140" Type="http://schemas.openxmlformats.org/officeDocument/2006/relationships/hyperlink" Target="https://docs.google.com/document/d/1ZzRLpSgrY5v6B2CF5Hk88S8LAwmNAX5puO_b78Wr9bQ/edit?usp=drivesdk" TargetMode="External"/><Relationship Id="rId5" Type="http://schemas.openxmlformats.org/officeDocument/2006/relationships/hyperlink" Target="https://docs.google.com/document/d/1S4-slFR-Ebpu_LRa3sWrLp3NJ-mvyQY8VY6tioiOJvc/edit?usp=drivesdk" TargetMode="External"/><Relationship Id="rId6" Type="http://schemas.openxmlformats.org/officeDocument/2006/relationships/hyperlink" Target="https://docs.google.com/document/d/1CkTZU-UbISqKAYc0hACPHnbE8KHroVRAOa6x2v5dHNA/edit?usp=drivesdk" TargetMode="External"/><Relationship Id="rId146" Type="http://schemas.openxmlformats.org/officeDocument/2006/relationships/drawing" Target="../drawings/drawing2.xml"/><Relationship Id="rId7" Type="http://schemas.openxmlformats.org/officeDocument/2006/relationships/hyperlink" Target="https://docs.google.com/document/d/1sx7zVJ8b58Jf3-o24PjRwoyKm2_RuWOYEthAJ19jkpM/edit?usp=drivesdk" TargetMode="External"/><Relationship Id="rId145" Type="http://schemas.openxmlformats.org/officeDocument/2006/relationships/hyperlink" Target="https://docs.google.com/document/d/1Qy7YiDKDV4rqyVlPOreGbZ_UZ96xsB1neiy5odTDCQw/edit?usp=drivesdk" TargetMode="External"/><Relationship Id="rId8" Type="http://schemas.openxmlformats.org/officeDocument/2006/relationships/hyperlink" Target="https://docs.google.com/document/d/1jUDIKng0eiTwTryp9EK9pQMEcxi-WjA0Azj1wP94rYc/edit?usp=drivesdk" TargetMode="External"/><Relationship Id="rId144" Type="http://schemas.openxmlformats.org/officeDocument/2006/relationships/hyperlink" Target="https://docs.google.com/document/d/1FMXJAHZLYj2nHH8UM04vq-pMbPtnr2in4z385-SUZq4/edit?usp=drivesdk" TargetMode="External"/><Relationship Id="rId73" Type="http://schemas.openxmlformats.org/officeDocument/2006/relationships/hyperlink" Target="https://docs.google.com/document/d/1JHs7nro6tKU79MvNV76BLkckcS8O2Bmv07BnA3HNDRU/edit?usp=drivesdk" TargetMode="External"/><Relationship Id="rId72" Type="http://schemas.openxmlformats.org/officeDocument/2006/relationships/hyperlink" Target="https://docs.google.com/document/d/1xCE-gDtvrVUODxAzZUOi3ukSw_OzkCbqUTdLBRgkLd4/edit?usp=drivesdk" TargetMode="External"/><Relationship Id="rId75" Type="http://schemas.openxmlformats.org/officeDocument/2006/relationships/hyperlink" Target="https://docs.google.com/document/d/11P7GB9P3B10ZDOkrLyWj9mfG-6Vvx4weKJxCXbbPhLU/edit?usp=drivesdk" TargetMode="External"/><Relationship Id="rId74" Type="http://schemas.openxmlformats.org/officeDocument/2006/relationships/hyperlink" Target="https://docs.google.com/document/d/1Td41CnEBGajD9sBuX0Imzp51R9hBK1JMHOhb-Sw9IdI/edit?usp=drivesdk" TargetMode="External"/><Relationship Id="rId77" Type="http://schemas.openxmlformats.org/officeDocument/2006/relationships/hyperlink" Target="https://docs.google.com/document/d/1cA4O76Mt7y6Xp7_5opK1xTkn7iB3v3G1V6dDT_z5Mtc/edit?usp=drivesdk" TargetMode="External"/><Relationship Id="rId76" Type="http://schemas.openxmlformats.org/officeDocument/2006/relationships/hyperlink" Target="https://docs.google.com/document/d/19adkAbjKYpcOPfGQw0BVpzjX-gaFD57MV3Pma_Liocw/edit?usp=drivesdk" TargetMode="External"/><Relationship Id="rId79" Type="http://schemas.openxmlformats.org/officeDocument/2006/relationships/hyperlink" Target="https://docs.google.com/document/d/1SW3Xwd85yPtEdqboqxTVNX7Aj9LJuUWPRkkYLzkHygA/edit?usp=drivesdk" TargetMode="External"/><Relationship Id="rId78" Type="http://schemas.openxmlformats.org/officeDocument/2006/relationships/hyperlink" Target="https://docs.google.com/document/d/1Mw0uG5EcfNrA6eQxE-uIfcU8GArqOMFNOD8QT-fTYz8/edit?usp=drivesdk" TargetMode="External"/><Relationship Id="rId71" Type="http://schemas.openxmlformats.org/officeDocument/2006/relationships/hyperlink" Target="https://docs.google.com/document/d/11pxckvRfIC47tasMicNDC5-O2PegVZGTdIDdeLcSs04/edit?usp=drivesdk" TargetMode="External"/><Relationship Id="rId70" Type="http://schemas.openxmlformats.org/officeDocument/2006/relationships/hyperlink" Target="https://docs.google.com/document/d/1M_MQJYLUnriIFxU74npGnXzoUPKS_quYvGevf09KvEQ/edit?usp=drivesdk" TargetMode="External"/><Relationship Id="rId139" Type="http://schemas.openxmlformats.org/officeDocument/2006/relationships/hyperlink" Target="https://docs.google.com/document/d/1HXt1CEIO3ggCdV2AIU7xoW4ya26OcJxhSU1l77F2BnI/edit?usp=drivesdk" TargetMode="External"/><Relationship Id="rId138" Type="http://schemas.openxmlformats.org/officeDocument/2006/relationships/hyperlink" Target="https://docs.google.com/document/d/1m8F-VvearDMsCUzrWOdq3nscTPfafLklXwHzFbN_cuc/edit?usp=drivesdk" TargetMode="External"/><Relationship Id="rId137" Type="http://schemas.openxmlformats.org/officeDocument/2006/relationships/hyperlink" Target="https://docs.google.com/document/d/1dCkKUw7n38TYKzc77aHizGenQX9LXBtL8zhcD3V9LA0/edit?usp=drivesdk" TargetMode="External"/><Relationship Id="rId132" Type="http://schemas.openxmlformats.org/officeDocument/2006/relationships/hyperlink" Target="https://docs.google.com/document/d/1Z2rWi1r3rGhPSS8SpTfnDBGEo-F4h5U1mMMtQSfqiXY/edit?usp=drivesdk" TargetMode="External"/><Relationship Id="rId131" Type="http://schemas.openxmlformats.org/officeDocument/2006/relationships/hyperlink" Target="https://docs.google.com/document/d/14j0WzyycXHp72UhuDpL72k0gF0ruRXt3r3-7XsqmnHo/edit?usp=drivesdk" TargetMode="External"/><Relationship Id="rId130" Type="http://schemas.openxmlformats.org/officeDocument/2006/relationships/hyperlink" Target="https://docs.google.com/document/d/13dhEy8hixG7tLvjb4OLAYDmpzGKrX1WI8Htsd3orQjI/edit?usp=drivesdk" TargetMode="External"/><Relationship Id="rId136" Type="http://schemas.openxmlformats.org/officeDocument/2006/relationships/hyperlink" Target="https://docs.google.com/document/d/1rcbrBbysOgt7scvtFHip0N0ZDgm6uGTfTWh0Ns_1qbY/edit?usp=drivesdk" TargetMode="External"/><Relationship Id="rId135" Type="http://schemas.openxmlformats.org/officeDocument/2006/relationships/hyperlink" Target="https://docs.google.com/document/d/1K5TGSVaVBeRdqCvx4Flv-sEd4vPi5-DQFB5nks1szyQ/edit?usp=drivesdk" TargetMode="External"/><Relationship Id="rId134" Type="http://schemas.openxmlformats.org/officeDocument/2006/relationships/hyperlink" Target="https://docs.google.com/document/d/1cvhDvd_q5iJ7YDl-4e9jVotj5-p986Kzl7wngZYiLOs/edit?usp=drivesdk" TargetMode="External"/><Relationship Id="rId133" Type="http://schemas.openxmlformats.org/officeDocument/2006/relationships/hyperlink" Target="https://docs.google.com/document/d/1z1TWf_f5rEOshsiMwbZTlkselY4zFBaknrYnwRAsDf4/edit?usp=drivesdk" TargetMode="External"/><Relationship Id="rId62" Type="http://schemas.openxmlformats.org/officeDocument/2006/relationships/hyperlink" Target="https://docs.google.com/document/d/1KBow3XWJM-IjmLAT2kkHbeRr47CSacRvh54k2hMapW8/edit?usp=drivesdk" TargetMode="External"/><Relationship Id="rId61" Type="http://schemas.openxmlformats.org/officeDocument/2006/relationships/hyperlink" Target="https://docs.google.com/document/d/1voPJUqYVRcQCn964JQsPdCsjXuURy7dgYTYYn-l_Geg/edit?usp=drivesdk" TargetMode="External"/><Relationship Id="rId64" Type="http://schemas.openxmlformats.org/officeDocument/2006/relationships/hyperlink" Target="https://docs.google.com/document/d/1juEydBtlLxHO1HVxMKwoiuXqacu2pl9nwHBoEz6mkq0/edit?usp=drivesdk" TargetMode="External"/><Relationship Id="rId63" Type="http://schemas.openxmlformats.org/officeDocument/2006/relationships/hyperlink" Target="https://docs.google.com/document/d/1wG_wDG9ZJIAjC8NR5BRjtv3GzslZngVV1iLASIer_lM/edit?usp=drivesdk" TargetMode="External"/><Relationship Id="rId66" Type="http://schemas.openxmlformats.org/officeDocument/2006/relationships/hyperlink" Target="https://docs.google.com/document/d/19L2rkW1Zr6Xb1Hikukv-lIrWX0-LpZAQLUjrcU-69vI/edit?usp=drivesdk" TargetMode="External"/><Relationship Id="rId65" Type="http://schemas.openxmlformats.org/officeDocument/2006/relationships/hyperlink" Target="https://docs.google.com/document/d/1WEjTYB8YZllMU51iCr1A2bPa3WxIKlz9b6TY0fHYrhQ/edit?usp=drivesdk" TargetMode="External"/><Relationship Id="rId68" Type="http://schemas.openxmlformats.org/officeDocument/2006/relationships/hyperlink" Target="https://docs.google.com/document/d/1BLTHBblgVzL_5veWkkUWshg4A2eaREQYF4IQXMlVtJQ/edit?usp=drivesdk" TargetMode="External"/><Relationship Id="rId67" Type="http://schemas.openxmlformats.org/officeDocument/2006/relationships/hyperlink" Target="https://docs.google.com/document/d/1bxT6bpH0sdOkYteYNM4zlWK50tXpIwA_w16Wraket00/edit?usp=drivesdk" TargetMode="External"/><Relationship Id="rId60" Type="http://schemas.openxmlformats.org/officeDocument/2006/relationships/hyperlink" Target="https://docs.google.com/document/d/10_XghKsm9YQRTmBgfyQvggLm9HVFqUew1I2QukK6UDQ/edit?usp=drivesdk" TargetMode="External"/><Relationship Id="rId69" Type="http://schemas.openxmlformats.org/officeDocument/2006/relationships/hyperlink" Target="https://docs.google.com/document/d/1YXLEnCILiwhhXViEGgsX9Z9fPd0VG58jy5l5M32u80k/edit?usp=drivesdk" TargetMode="External"/><Relationship Id="rId51" Type="http://schemas.openxmlformats.org/officeDocument/2006/relationships/hyperlink" Target="https://docs.google.com/document/d/1MlvOsQBotZyI3uXG3YSxaa3O9Jr6lD_pW3_cTbkW9a8/edit?usp=drivesdk" TargetMode="External"/><Relationship Id="rId50" Type="http://schemas.openxmlformats.org/officeDocument/2006/relationships/hyperlink" Target="https://docs.google.com/document/d/13MmHcorm8y9rGe6hNA8cAhLj8WrRQ829xP_uC0NIjJg/edit?usp=drivesdk" TargetMode="External"/><Relationship Id="rId53" Type="http://schemas.openxmlformats.org/officeDocument/2006/relationships/hyperlink" Target="https://docs.google.com/document/d/1djj96bMom7pWubkvsOuw6t3V0TsggZGF-nOc4ebmUu8/edit?usp=drivesdk" TargetMode="External"/><Relationship Id="rId52" Type="http://schemas.openxmlformats.org/officeDocument/2006/relationships/hyperlink" Target="https://docs.google.com/document/d/1uob3Od_OX4FxDOTHLvVlya__5tdg5CK9cgOGFYnQ1QY/edit?usp=drivesdk" TargetMode="External"/><Relationship Id="rId55" Type="http://schemas.openxmlformats.org/officeDocument/2006/relationships/hyperlink" Target="https://docs.google.com/document/d/13rX6sPXmcljTZBJHGe6Tkg-WfILLZhzX6tJjJq9HYXo/edit?usp=drivesdk" TargetMode="External"/><Relationship Id="rId54" Type="http://schemas.openxmlformats.org/officeDocument/2006/relationships/hyperlink" Target="https://docs.google.com/document/d/12Xjhk6-A93xUMigGor4YLiShomq95JU-2QT4WSOiomE/edit?usp=drivesdk" TargetMode="External"/><Relationship Id="rId57" Type="http://schemas.openxmlformats.org/officeDocument/2006/relationships/hyperlink" Target="https://docs.google.com/document/d/1hVNK2eLaXT9uileI5Zto4IPhcuspW0PmEFDhYYlfhO0/edit?usp=drivesdk" TargetMode="External"/><Relationship Id="rId56" Type="http://schemas.openxmlformats.org/officeDocument/2006/relationships/hyperlink" Target="https://docs.google.com/document/d/1-8KhY6GIaKp4cEytsmXPk_MYg6vPePkW6G1tNF_2EiU/edit?usp=drivesdk" TargetMode="External"/><Relationship Id="rId59" Type="http://schemas.openxmlformats.org/officeDocument/2006/relationships/hyperlink" Target="https://docs.google.com/document/d/11HocqsBxSXUSMJGCNN3oF-7BWB2u2pJzl1aNvjdCugU/edit?usp=drivesdk" TargetMode="External"/><Relationship Id="rId58" Type="http://schemas.openxmlformats.org/officeDocument/2006/relationships/hyperlink" Target="https://docs.google.com/document/d/1aPSPbgdVC2ReCPGm0-2J_zvpvdNah3peE3DIJi2rtfg/edit?usp=drivesd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0"/>
    <col customWidth="1" min="2" max="2" width="24.86"/>
    <col customWidth="1" min="3" max="3" width="19.29"/>
    <col customWidth="1" min="4" max="4" width="9.14"/>
    <col customWidth="1" min="5" max="5" width="10.43"/>
    <col customWidth="1" min="6" max="6" width="4.29"/>
    <col customWidth="1" min="7" max="7" width="8.29"/>
    <col customWidth="1" min="8" max="8" width="5.29"/>
    <col customWidth="1" min="9" max="9" width="5.0"/>
    <col customWidth="1" min="10" max="10" width="9.0"/>
    <col customWidth="1" min="11" max="11" width="16.71"/>
    <col customWidth="1" min="12" max="12" width="11.14"/>
    <col customWidth="1" min="14" max="14" width="15.29"/>
  </cols>
  <sheetData>
    <row r="1">
      <c r="A1" s="1" t="s">
        <v>0</v>
      </c>
      <c r="D1" s="2"/>
      <c r="G1" s="3"/>
      <c r="N1" s="4" t="s">
        <v>1</v>
      </c>
      <c r="O1" s="5">
        <v>46041.0</v>
      </c>
    </row>
    <row r="2">
      <c r="A2" s="6" t="s">
        <v>2</v>
      </c>
      <c r="B2" s="7" t="s">
        <v>3</v>
      </c>
      <c r="C2" s="7" t="s">
        <v>4</v>
      </c>
      <c r="D2" s="8" t="s">
        <v>5</v>
      </c>
      <c r="G2" s="3"/>
    </row>
    <row r="3">
      <c r="A3" s="9" t="s">
        <v>6</v>
      </c>
      <c r="B3" s="10" t="s">
        <v>7</v>
      </c>
      <c r="C3" s="11"/>
      <c r="G3" s="3"/>
      <c r="N3" s="12"/>
    </row>
    <row r="4">
      <c r="A4" s="13" t="s">
        <v>8</v>
      </c>
      <c r="B4" s="14" t="s">
        <v>9</v>
      </c>
      <c r="C4" s="15" t="str">
        <f>IF(B4="- - - - -",D4,B4)</f>
        <v>TOUR FD</v>
      </c>
      <c r="D4" s="16" t="str">
        <f>VLOOKUP(B3,'Tour List'!A2:K52,3,0)</f>
        <v>TOUR FD</v>
      </c>
      <c r="G4" s="3"/>
    </row>
    <row r="5">
      <c r="A5" s="9" t="s">
        <v>10</v>
      </c>
      <c r="B5" s="14"/>
      <c r="C5" s="17">
        <f>IF(B5="",D5,B5)</f>
        <v>250</v>
      </c>
      <c r="D5" s="3">
        <f>VLOOKUP(B3,'Tour List'!A2:K43,5,0)</f>
        <v>250</v>
      </c>
      <c r="G5" s="3"/>
    </row>
    <row r="6">
      <c r="A6" s="9" t="s">
        <v>11</v>
      </c>
      <c r="B6" s="14"/>
      <c r="C6" s="15" t="str">
        <f>B6</f>
        <v/>
      </c>
      <c r="D6" s="3"/>
      <c r="G6" s="3"/>
    </row>
    <row r="7">
      <c r="A7" s="9" t="s">
        <v>12</v>
      </c>
      <c r="B7" s="18"/>
      <c r="C7" s="19">
        <f t="shared" ref="C7:C10" si="1">IF(B7="",D7,B7)</f>
        <v>8</v>
      </c>
      <c r="D7" s="3">
        <f>VLOOKUP(B3,'Tour List'!A2:K43,4,0)</f>
        <v>8</v>
      </c>
      <c r="G7" s="3"/>
    </row>
    <row r="8">
      <c r="A8" s="20" t="s">
        <v>13</v>
      </c>
      <c r="B8" s="21"/>
      <c r="C8" s="19" t="str">
        <f t="shared" si="1"/>
        <v/>
      </c>
      <c r="D8" s="3"/>
      <c r="G8" s="3"/>
    </row>
    <row r="9">
      <c r="A9" s="20" t="s">
        <v>14</v>
      </c>
      <c r="B9" s="18"/>
      <c r="C9" s="17" t="str">
        <f t="shared" si="1"/>
        <v/>
      </c>
      <c r="D9" s="3"/>
      <c r="G9" s="3"/>
    </row>
    <row r="10">
      <c r="A10" s="22" t="s">
        <v>15</v>
      </c>
      <c r="B10" s="23"/>
      <c r="C10" s="24">
        <f t="shared" si="1"/>
        <v>0</v>
      </c>
      <c r="D10" s="25">
        <f>VLOOKUP(B3,'Tour List'!A2:K43,6,0)</f>
        <v>0</v>
      </c>
    </row>
    <row r="11">
      <c r="A11" s="22" t="s">
        <v>16</v>
      </c>
      <c r="B11" s="14">
        <v>2.0</v>
      </c>
      <c r="C11" s="15">
        <f>B11</f>
        <v>2</v>
      </c>
      <c r="D11" s="3"/>
    </row>
    <row r="12">
      <c r="A12" s="22" t="s">
        <v>17</v>
      </c>
      <c r="B12" s="26"/>
      <c r="C12" s="24">
        <f>IF(B12="",D12,B12)</f>
        <v>70</v>
      </c>
      <c r="D12" s="25">
        <f>VLOOKUP(B3,'Tour List'!A2:K43,11,0)</f>
        <v>70</v>
      </c>
    </row>
    <row r="13">
      <c r="A13" s="27" t="s">
        <v>18</v>
      </c>
      <c r="B13" s="11"/>
      <c r="C13" s="11"/>
    </row>
    <row r="14">
      <c r="A14" s="28" t="s">
        <v>19</v>
      </c>
      <c r="B14" s="29" t="s">
        <v>20</v>
      </c>
      <c r="C14" s="17" t="str">
        <f t="shared" ref="C14:C19" si="2">B14</f>
        <v>Low</v>
      </c>
    </row>
    <row r="15">
      <c r="A15" s="28" t="s">
        <v>21</v>
      </c>
      <c r="B15" s="29" t="s">
        <v>22</v>
      </c>
      <c r="C15" s="17" t="str">
        <f t="shared" si="2"/>
        <v>Car (2pax)</v>
      </c>
    </row>
    <row r="16">
      <c r="A16" s="30" t="s">
        <v>23</v>
      </c>
      <c r="B16" s="31">
        <v>0.1</v>
      </c>
      <c r="C16" s="32">
        <f t="shared" si="2"/>
        <v>0.1</v>
      </c>
    </row>
    <row r="17">
      <c r="A17" s="33" t="s">
        <v>24</v>
      </c>
      <c r="B17" s="34">
        <v>0.05</v>
      </c>
      <c r="C17" s="32">
        <f t="shared" si="2"/>
        <v>0.05</v>
      </c>
    </row>
    <row r="18">
      <c r="A18" s="35" t="s">
        <v>25</v>
      </c>
      <c r="B18" s="31">
        <v>0.0</v>
      </c>
      <c r="C18" s="32">
        <f t="shared" si="2"/>
        <v>0</v>
      </c>
    </row>
    <row r="19">
      <c r="A19" s="35" t="s">
        <v>26</v>
      </c>
      <c r="B19" s="36">
        <v>0.0</v>
      </c>
      <c r="C19" s="24">
        <f t="shared" si="2"/>
        <v>0</v>
      </c>
    </row>
    <row r="20">
      <c r="A20" s="37"/>
      <c r="B20" s="37"/>
      <c r="C20" s="37"/>
    </row>
    <row r="21" ht="15.75" customHeight="1">
      <c r="A21" s="38" t="s">
        <v>27</v>
      </c>
      <c r="B21" s="11"/>
      <c r="C21" s="11"/>
    </row>
    <row r="22" ht="15.75" customHeight="1">
      <c r="A22" s="39" t="s">
        <v>28</v>
      </c>
      <c r="B22" s="40">
        <f t="array" ref="B22">INDEX('Pricing Calculator'!E2:H6,MATCH(B14,'Pricing Calculator'!E2:E6,0),MATCH(B15,'Pricing Calculator'!E3:H3,0))</f>
        <v>433.957398</v>
      </c>
      <c r="C22" s="41"/>
    </row>
    <row r="23" ht="15.75" customHeight="1">
      <c r="A23" s="39" t="s">
        <v>29</v>
      </c>
      <c r="B23" s="42">
        <f t="array" ref="B23">INDEX('Pricing Calculator'!E10:H14,MATCH(B14,'Pricing Calculator'!E10:E14,0),MATCH(B15,'Pricing Calculator'!E10:H10,0))</f>
        <v>147</v>
      </c>
      <c r="C23" s="41"/>
    </row>
    <row r="24" ht="15.75" customHeight="1">
      <c r="A24" s="37" t="s">
        <v>30</v>
      </c>
      <c r="B24" s="43">
        <f>(B22+B23)*B18</f>
        <v>0</v>
      </c>
      <c r="C24" s="37"/>
    </row>
    <row r="25" ht="15.75" customHeight="1">
      <c r="A25" s="44" t="s">
        <v>26</v>
      </c>
      <c r="B25" s="45">
        <f>B19</f>
        <v>0</v>
      </c>
      <c r="C25" s="37"/>
    </row>
    <row r="26">
      <c r="A26" s="46" t="s">
        <v>31</v>
      </c>
      <c r="B26" s="47">
        <f>B22+B23+B24+B25</f>
        <v>580.957398</v>
      </c>
      <c r="C26" s="48">
        <f>CEILING(B26,5)</f>
        <v>585</v>
      </c>
    </row>
    <row r="27">
      <c r="A27" s="39" t="str">
        <f>CONCATENATE("VAT (",(B16*100),"%)")</f>
        <v>VAT (10%)</v>
      </c>
      <c r="B27" s="49">
        <f>B26*B16</f>
        <v>58.0957398</v>
      </c>
      <c r="C27" s="50">
        <f>CEILING(D27,5)</f>
        <v>645</v>
      </c>
      <c r="D27" s="51">
        <f>C26+B27</f>
        <v>643.0957398</v>
      </c>
    </row>
    <row r="28" ht="15.75" customHeight="1">
      <c r="A28" s="39" t="str">
        <f>CONCATENATE("CC fees (",(B17*100),"%)")</f>
        <v>CC fees (5%)</v>
      </c>
      <c r="B28" s="52">
        <f>(B26+B27)*B17</f>
        <v>31.95265689</v>
      </c>
      <c r="C28" s="53"/>
    </row>
    <row r="29">
      <c r="A29" s="46" t="s">
        <v>32</v>
      </c>
      <c r="B29" s="47">
        <f>B26+B27+B28</f>
        <v>671.0057946</v>
      </c>
      <c r="C29" s="48">
        <f>CEILING(B29,5)</f>
        <v>675</v>
      </c>
      <c r="F29" s="54"/>
    </row>
    <row r="30" ht="15.75" customHeight="1">
      <c r="C30" s="37"/>
    </row>
    <row r="31" ht="15.75" customHeight="1">
      <c r="G31" s="3"/>
    </row>
    <row r="32" ht="27.75" customHeight="1">
      <c r="G32" s="3"/>
    </row>
    <row r="33" ht="15.75" customHeight="1">
      <c r="G33" s="3"/>
    </row>
    <row r="34">
      <c r="D34" s="55"/>
      <c r="E34" s="56"/>
      <c r="G34" s="3"/>
    </row>
    <row r="35" ht="15.75" customHeight="1">
      <c r="G35" s="3"/>
    </row>
    <row r="36" ht="15.75" customHeight="1">
      <c r="G36" s="3"/>
    </row>
    <row r="37" ht="15.75" customHeight="1">
      <c r="D37" s="55"/>
      <c r="G37" s="3"/>
    </row>
    <row r="38">
      <c r="D38" s="57"/>
      <c r="G38" s="3"/>
    </row>
    <row r="39" ht="15.75" customHeight="1">
      <c r="G39" s="3"/>
    </row>
    <row r="40" ht="15.75" customHeight="1">
      <c r="G40" s="3"/>
    </row>
    <row r="41" ht="15.75" customHeight="1">
      <c r="D41" s="55"/>
      <c r="G41" s="3"/>
    </row>
    <row r="42" ht="15.75" customHeight="1">
      <c r="D42" s="55"/>
      <c r="G42" s="3"/>
    </row>
    <row r="43" ht="15.75" customHeight="1">
      <c r="D43" s="55"/>
      <c r="G43" s="3"/>
    </row>
    <row r="44" ht="15.75" customHeight="1">
      <c r="G44" s="3"/>
    </row>
    <row r="45" ht="15.75" customHeight="1">
      <c r="G45" s="3"/>
    </row>
    <row r="46" ht="15.75" customHeight="1">
      <c r="G46" s="3"/>
    </row>
    <row r="47" ht="15.75" customHeight="1">
      <c r="G47" s="3"/>
    </row>
    <row r="48" ht="15.75" customHeight="1">
      <c r="G48" s="3"/>
    </row>
    <row r="49" ht="14.25" customHeight="1">
      <c r="G49" s="3"/>
    </row>
    <row r="50">
      <c r="G50" s="3"/>
    </row>
    <row r="51" ht="15.75" customHeight="1">
      <c r="G51" s="3"/>
    </row>
    <row r="52" ht="15.75" customHeight="1">
      <c r="G52" s="3"/>
    </row>
    <row r="53" ht="15.75" customHeight="1">
      <c r="G53" s="3"/>
    </row>
    <row r="54" ht="15.75" customHeight="1">
      <c r="C54" s="37"/>
      <c r="G54" s="3"/>
    </row>
    <row r="55" ht="15.75" customHeight="1">
      <c r="C55" s="37"/>
      <c r="G55" s="3"/>
    </row>
    <row r="56" ht="15.75" customHeight="1">
      <c r="B56" s="58"/>
      <c r="C56" s="37"/>
      <c r="G56" s="3"/>
    </row>
    <row r="57" ht="15.75" customHeight="1">
      <c r="C57" s="37"/>
      <c r="G57" s="3"/>
    </row>
    <row r="58" ht="15.75" customHeight="1">
      <c r="C58" s="37"/>
      <c r="G58" s="3"/>
    </row>
    <row r="59" ht="15.75" customHeight="1">
      <c r="C59" s="37"/>
      <c r="G59" s="3"/>
    </row>
    <row r="60" ht="15.75" customHeight="1">
      <c r="C60" s="37"/>
      <c r="G60" s="3"/>
    </row>
    <row r="61" ht="15.75" customHeight="1">
      <c r="C61" s="37"/>
      <c r="G61" s="3"/>
    </row>
    <row r="62" ht="15.75" customHeight="1">
      <c r="C62" s="37"/>
      <c r="G62" s="3"/>
    </row>
    <row r="63" ht="15.75" customHeight="1">
      <c r="C63" s="37"/>
      <c r="G63" s="3"/>
    </row>
    <row r="64" ht="15.75" customHeight="1">
      <c r="C64" s="37"/>
      <c r="G64" s="3"/>
    </row>
    <row r="65" ht="15.75" customHeight="1">
      <c r="C65" s="37"/>
      <c r="G65" s="3"/>
    </row>
    <row r="66" ht="15.75" customHeight="1">
      <c r="C66" s="37"/>
      <c r="G66" s="3"/>
    </row>
    <row r="67" ht="15.75" customHeight="1">
      <c r="C67" s="37"/>
      <c r="G67" s="3"/>
    </row>
    <row r="68" ht="15.75" customHeight="1">
      <c r="C68" s="37"/>
      <c r="G68" s="3"/>
    </row>
    <row r="69" ht="15.75" customHeight="1">
      <c r="C69" s="37"/>
      <c r="G69" s="3"/>
    </row>
    <row r="70" ht="15.75" customHeight="1">
      <c r="C70" s="37"/>
      <c r="G70" s="3"/>
    </row>
    <row r="71" ht="15.75" customHeight="1">
      <c r="C71" s="37"/>
      <c r="G71" s="3"/>
    </row>
    <row r="72" ht="15.75" customHeight="1">
      <c r="C72" s="37"/>
      <c r="G72" s="3"/>
    </row>
    <row r="73" ht="15.75" customHeight="1">
      <c r="C73" s="37"/>
      <c r="G73" s="3"/>
    </row>
    <row r="74" ht="15.75" customHeight="1">
      <c r="C74" s="37"/>
      <c r="G74" s="3"/>
    </row>
    <row r="75" ht="15.75" customHeight="1">
      <c r="C75" s="37"/>
      <c r="G75" s="3"/>
    </row>
    <row r="76" ht="15.75" customHeight="1">
      <c r="C76" s="37"/>
      <c r="G76" s="3"/>
    </row>
    <row r="77" ht="15.75" customHeight="1">
      <c r="C77" s="37"/>
      <c r="G77" s="3"/>
    </row>
    <row r="78" ht="15.75" customHeight="1">
      <c r="C78" s="37"/>
      <c r="G78" s="3"/>
    </row>
    <row r="79" ht="15.75" customHeight="1">
      <c r="C79" s="37"/>
      <c r="G79" s="3"/>
    </row>
    <row r="80" ht="15.75" customHeight="1">
      <c r="C80" s="37"/>
      <c r="G80" s="3"/>
    </row>
    <row r="81" ht="15.75" customHeight="1">
      <c r="C81" s="37"/>
      <c r="G81" s="3"/>
    </row>
    <row r="82" ht="15.75" customHeight="1">
      <c r="C82" s="37"/>
      <c r="G82" s="3"/>
    </row>
    <row r="83" ht="15.75" customHeight="1">
      <c r="C83" s="37"/>
      <c r="G83" s="3"/>
    </row>
    <row r="84" ht="15.75" customHeight="1">
      <c r="C84" s="37"/>
      <c r="G84" s="3"/>
    </row>
    <row r="85" ht="15.75" customHeight="1">
      <c r="C85" s="37"/>
      <c r="G85" s="3"/>
    </row>
    <row r="86" ht="15.75" customHeight="1">
      <c r="C86" s="37"/>
      <c r="G86" s="3"/>
    </row>
    <row r="87" ht="15.75" customHeight="1">
      <c r="C87" s="37"/>
      <c r="G87" s="3"/>
    </row>
    <row r="88" ht="15.75" customHeight="1">
      <c r="C88" s="37"/>
      <c r="G88" s="3"/>
    </row>
    <row r="89" ht="15.75" customHeight="1">
      <c r="C89" s="37"/>
      <c r="G89" s="3"/>
    </row>
    <row r="90" ht="15.75" customHeight="1">
      <c r="C90" s="37"/>
      <c r="G90" s="3"/>
    </row>
    <row r="91" ht="15.75" customHeight="1">
      <c r="C91" s="37"/>
      <c r="G91" s="3"/>
    </row>
    <row r="92" ht="15.75" customHeight="1">
      <c r="C92" s="37"/>
      <c r="G92" s="3"/>
    </row>
    <row r="93" ht="15.75" customHeight="1">
      <c r="C93" s="37"/>
      <c r="G93" s="3"/>
    </row>
    <row r="94" ht="15.75" customHeight="1">
      <c r="C94" s="37"/>
      <c r="G94" s="3"/>
    </row>
    <row r="95" ht="15.75" customHeight="1">
      <c r="C95" s="37"/>
      <c r="G95" s="3"/>
    </row>
    <row r="96" ht="15.75" customHeight="1">
      <c r="C96" s="37"/>
      <c r="G96" s="3"/>
    </row>
    <row r="97" ht="15.75" customHeight="1">
      <c r="C97" s="37"/>
      <c r="G97" s="3"/>
    </row>
    <row r="98" ht="15.75" customHeight="1">
      <c r="C98" s="37"/>
      <c r="G98" s="3"/>
    </row>
    <row r="99" ht="15.75" customHeight="1">
      <c r="C99" s="37"/>
      <c r="G99" s="3"/>
    </row>
    <row r="100" ht="15.75" customHeight="1">
      <c r="C100" s="37"/>
      <c r="G100" s="3"/>
    </row>
    <row r="101" ht="15.75" customHeight="1">
      <c r="C101" s="37"/>
      <c r="G101" s="3"/>
    </row>
    <row r="102" ht="15.75" customHeight="1">
      <c r="C102" s="37"/>
      <c r="G102" s="3"/>
    </row>
    <row r="103" ht="15.75" customHeight="1">
      <c r="C103" s="37"/>
      <c r="G103" s="3"/>
    </row>
    <row r="104" ht="15.75" customHeight="1">
      <c r="C104" s="37"/>
      <c r="G104" s="3"/>
    </row>
    <row r="105" ht="15.75" customHeight="1">
      <c r="C105" s="37"/>
      <c r="G105" s="3"/>
    </row>
    <row r="106" ht="15.75" customHeight="1">
      <c r="C106" s="37"/>
      <c r="G106" s="3"/>
    </row>
    <row r="107" ht="15.75" customHeight="1">
      <c r="C107" s="37"/>
      <c r="G107" s="3"/>
    </row>
    <row r="108" ht="15.75" customHeight="1">
      <c r="C108" s="37"/>
      <c r="G108" s="3"/>
    </row>
    <row r="109" ht="15.75" customHeight="1">
      <c r="C109" s="37"/>
      <c r="G109" s="3"/>
    </row>
    <row r="110" ht="15.75" customHeight="1">
      <c r="C110" s="37"/>
      <c r="G110" s="3"/>
    </row>
    <row r="111" ht="15.75" customHeight="1">
      <c r="C111" s="37"/>
      <c r="G111" s="3"/>
    </row>
    <row r="112" ht="15.75" customHeight="1">
      <c r="C112" s="37"/>
      <c r="G112" s="3"/>
    </row>
    <row r="113" ht="15.75" customHeight="1">
      <c r="C113" s="37"/>
      <c r="G113" s="3"/>
    </row>
    <row r="114" ht="15.75" customHeight="1">
      <c r="C114" s="37"/>
      <c r="G114" s="3"/>
    </row>
    <row r="115" ht="15.75" customHeight="1">
      <c r="C115" s="37"/>
      <c r="G115" s="3"/>
    </row>
    <row r="116" ht="15.75" customHeight="1">
      <c r="C116" s="37"/>
      <c r="G116" s="3"/>
    </row>
    <row r="117" ht="15.75" customHeight="1">
      <c r="C117" s="37"/>
      <c r="G117" s="3"/>
    </row>
    <row r="118" ht="15.75" customHeight="1">
      <c r="C118" s="37"/>
      <c r="G118" s="3"/>
    </row>
    <row r="119" ht="15.75" customHeight="1">
      <c r="C119" s="37"/>
      <c r="G119" s="3"/>
    </row>
    <row r="120" ht="15.75" customHeight="1">
      <c r="C120" s="37"/>
      <c r="G120" s="3"/>
    </row>
    <row r="121" ht="15.75" customHeight="1">
      <c r="C121" s="37"/>
      <c r="G121" s="3"/>
    </row>
    <row r="122" ht="15.75" customHeight="1">
      <c r="C122" s="37"/>
      <c r="G122" s="3"/>
    </row>
    <row r="123" ht="15.75" customHeight="1">
      <c r="C123" s="37"/>
      <c r="G123" s="3"/>
    </row>
    <row r="124" ht="15.75" customHeight="1">
      <c r="C124" s="37"/>
      <c r="G124" s="3"/>
    </row>
    <row r="125" ht="15.75" customHeight="1">
      <c r="C125" s="37"/>
      <c r="G125" s="3"/>
    </row>
    <row r="126" ht="15.75" customHeight="1">
      <c r="C126" s="37"/>
      <c r="G126" s="3"/>
    </row>
    <row r="127" ht="15.75" customHeight="1">
      <c r="C127" s="37"/>
      <c r="G127" s="3"/>
    </row>
    <row r="128" ht="15.75" customHeight="1">
      <c r="C128" s="37"/>
      <c r="G128" s="3"/>
    </row>
    <row r="129" ht="15.75" customHeight="1">
      <c r="C129" s="37"/>
      <c r="G129" s="3"/>
    </row>
    <row r="130" ht="15.75" customHeight="1">
      <c r="C130" s="37"/>
      <c r="G130" s="3"/>
    </row>
    <row r="131" ht="15.75" customHeight="1">
      <c r="C131" s="37"/>
      <c r="G131" s="3"/>
    </row>
    <row r="132" ht="15.75" customHeight="1">
      <c r="C132" s="37"/>
      <c r="G132" s="3"/>
    </row>
    <row r="133" ht="15.75" customHeight="1">
      <c r="C133" s="37"/>
      <c r="G133" s="3"/>
    </row>
    <row r="134" ht="15.75" customHeight="1">
      <c r="C134" s="37"/>
      <c r="G134" s="3"/>
    </row>
    <row r="135" ht="15.75" customHeight="1">
      <c r="C135" s="37"/>
      <c r="G135" s="3"/>
    </row>
    <row r="136" ht="15.75" customHeight="1">
      <c r="C136" s="37"/>
      <c r="G136" s="3"/>
    </row>
    <row r="137" ht="15.75" customHeight="1">
      <c r="C137" s="37"/>
      <c r="G137" s="3"/>
    </row>
    <row r="138" ht="15.75" customHeight="1">
      <c r="C138" s="37"/>
      <c r="G138" s="3"/>
    </row>
    <row r="139" ht="15.75" customHeight="1">
      <c r="C139" s="37"/>
      <c r="G139" s="3"/>
    </row>
    <row r="140" ht="15.75" customHeight="1">
      <c r="C140" s="37"/>
      <c r="G140" s="3"/>
    </row>
    <row r="141" ht="15.75" customHeight="1">
      <c r="C141" s="37"/>
      <c r="G141" s="3"/>
    </row>
    <row r="142" ht="15.75" customHeight="1">
      <c r="C142" s="37"/>
      <c r="G142" s="3"/>
    </row>
    <row r="143" ht="15.75" customHeight="1">
      <c r="C143" s="37"/>
      <c r="G143" s="3"/>
    </row>
    <row r="144" ht="15.75" customHeight="1">
      <c r="C144" s="37"/>
      <c r="G144" s="3"/>
    </row>
    <row r="145" ht="15.75" customHeight="1">
      <c r="C145" s="37"/>
      <c r="G145" s="3"/>
    </row>
    <row r="146" ht="15.75" customHeight="1">
      <c r="C146" s="37"/>
      <c r="G146" s="3"/>
    </row>
    <row r="147" ht="15.75" customHeight="1">
      <c r="C147" s="37"/>
      <c r="G147" s="3"/>
    </row>
    <row r="148" ht="15.75" customHeight="1">
      <c r="C148" s="37"/>
      <c r="G148" s="3"/>
    </row>
    <row r="149" ht="15.75" customHeight="1">
      <c r="C149" s="37"/>
      <c r="G149" s="3"/>
    </row>
    <row r="150" ht="15.75" customHeight="1">
      <c r="C150" s="37"/>
      <c r="G150" s="3"/>
    </row>
    <row r="151" ht="15.75" customHeight="1">
      <c r="C151" s="37"/>
      <c r="G151" s="3"/>
    </row>
    <row r="152" ht="15.75" customHeight="1">
      <c r="C152" s="37"/>
      <c r="G152" s="3"/>
    </row>
    <row r="153" ht="15.75" customHeight="1">
      <c r="C153" s="37"/>
      <c r="G153" s="3"/>
    </row>
    <row r="154" ht="15.75" customHeight="1">
      <c r="C154" s="37"/>
      <c r="G154" s="3"/>
    </row>
    <row r="155" ht="15.75" customHeight="1">
      <c r="C155" s="37"/>
      <c r="G155" s="3"/>
    </row>
    <row r="156" ht="15.75" customHeight="1">
      <c r="C156" s="37"/>
      <c r="G156" s="3"/>
    </row>
    <row r="157" ht="15.75" customHeight="1">
      <c r="C157" s="37"/>
      <c r="G157" s="3"/>
    </row>
    <row r="158" ht="15.75" customHeight="1">
      <c r="C158" s="37"/>
      <c r="G158" s="3"/>
    </row>
    <row r="159" ht="15.75" customHeight="1">
      <c r="C159" s="37"/>
      <c r="G159" s="3"/>
    </row>
    <row r="160" ht="15.75" customHeight="1">
      <c r="C160" s="37"/>
      <c r="G160" s="3"/>
    </row>
    <row r="161" ht="15.75" customHeight="1">
      <c r="C161" s="37"/>
      <c r="G161" s="3"/>
    </row>
    <row r="162" ht="15.75" customHeight="1">
      <c r="C162" s="37"/>
      <c r="G162" s="3"/>
    </row>
    <row r="163" ht="15.75" customHeight="1">
      <c r="C163" s="37"/>
      <c r="G163" s="3"/>
    </row>
    <row r="164" ht="15.75" customHeight="1">
      <c r="C164" s="37"/>
      <c r="G164" s="3"/>
    </row>
    <row r="165" ht="15.75" customHeight="1">
      <c r="C165" s="37"/>
      <c r="G165" s="3"/>
    </row>
    <row r="166" ht="15.75" customHeight="1">
      <c r="C166" s="37"/>
      <c r="G166" s="3"/>
    </row>
    <row r="167" ht="15.75" customHeight="1">
      <c r="C167" s="37"/>
      <c r="G167" s="3"/>
    </row>
    <row r="168" ht="15.75" customHeight="1">
      <c r="C168" s="37"/>
      <c r="G168" s="3"/>
    </row>
    <row r="169" ht="15.75" customHeight="1">
      <c r="C169" s="37"/>
      <c r="G169" s="3"/>
    </row>
    <row r="170" ht="15.75" customHeight="1">
      <c r="C170" s="37"/>
      <c r="G170" s="3"/>
    </row>
    <row r="171" ht="15.75" customHeight="1">
      <c r="C171" s="37"/>
      <c r="G171" s="3"/>
    </row>
    <row r="172" ht="15.75" customHeight="1">
      <c r="C172" s="37"/>
      <c r="G172" s="3"/>
    </row>
    <row r="173" ht="15.75" customHeight="1">
      <c r="C173" s="37"/>
      <c r="G173" s="3"/>
    </row>
    <row r="174" ht="15.75" customHeight="1">
      <c r="C174" s="37"/>
      <c r="G174" s="3"/>
    </row>
    <row r="175" ht="15.75" customHeight="1">
      <c r="C175" s="37"/>
      <c r="G175" s="3"/>
    </row>
    <row r="176" ht="15.75" customHeight="1">
      <c r="C176" s="37"/>
      <c r="G176" s="3"/>
    </row>
    <row r="177" ht="15.75" customHeight="1">
      <c r="C177" s="37"/>
      <c r="G177" s="3"/>
    </row>
    <row r="178" ht="15.75" customHeight="1">
      <c r="C178" s="37"/>
      <c r="G178" s="3"/>
    </row>
    <row r="179" ht="15.75" customHeight="1">
      <c r="C179" s="37"/>
      <c r="G179" s="3"/>
    </row>
    <row r="180" ht="15.75" customHeight="1">
      <c r="C180" s="37"/>
      <c r="G180" s="3"/>
    </row>
    <row r="181" ht="15.75" customHeight="1">
      <c r="C181" s="37"/>
      <c r="G181" s="3"/>
    </row>
    <row r="182" ht="15.75" customHeight="1">
      <c r="C182" s="37"/>
      <c r="G182" s="3"/>
    </row>
    <row r="183" ht="15.75" customHeight="1">
      <c r="C183" s="37"/>
      <c r="G183" s="3"/>
    </row>
    <row r="184" ht="15.75" customHeight="1">
      <c r="C184" s="37"/>
      <c r="G184" s="3"/>
    </row>
    <row r="185" ht="15.75" customHeight="1">
      <c r="C185" s="37"/>
      <c r="G185" s="3"/>
    </row>
    <row r="186" ht="15.75" customHeight="1">
      <c r="C186" s="37"/>
      <c r="G186" s="3"/>
    </row>
    <row r="187" ht="15.75" customHeight="1">
      <c r="C187" s="37"/>
      <c r="G187" s="3"/>
    </row>
    <row r="188" ht="15.75" customHeight="1">
      <c r="C188" s="37"/>
      <c r="G188" s="3"/>
    </row>
    <row r="189" ht="15.75" customHeight="1">
      <c r="C189" s="37"/>
      <c r="G189" s="3"/>
    </row>
    <row r="190" ht="15.75" customHeight="1">
      <c r="C190" s="37"/>
      <c r="G190" s="3"/>
    </row>
    <row r="191" ht="15.75" customHeight="1">
      <c r="C191" s="37"/>
      <c r="G191" s="3"/>
    </row>
    <row r="192" ht="15.75" customHeight="1">
      <c r="C192" s="37"/>
      <c r="G192" s="3"/>
    </row>
    <row r="193" ht="15.75" customHeight="1">
      <c r="C193" s="37"/>
      <c r="G193" s="3"/>
    </row>
    <row r="194" ht="15.75" customHeight="1">
      <c r="C194" s="37"/>
      <c r="G194" s="3"/>
    </row>
    <row r="195" ht="15.75" customHeight="1">
      <c r="C195" s="37"/>
      <c r="G195" s="3"/>
    </row>
    <row r="196" ht="15.75" customHeight="1">
      <c r="C196" s="37"/>
      <c r="G196" s="3"/>
    </row>
    <row r="197" ht="15.75" customHeight="1">
      <c r="C197" s="37"/>
      <c r="G197" s="3"/>
    </row>
    <row r="198" ht="15.75" customHeight="1">
      <c r="C198" s="37"/>
      <c r="G198" s="3"/>
    </row>
    <row r="199" ht="15.75" customHeight="1">
      <c r="C199" s="37"/>
      <c r="G199" s="3"/>
    </row>
    <row r="200" ht="15.75" customHeight="1">
      <c r="C200" s="37"/>
      <c r="G200" s="3"/>
    </row>
    <row r="201" ht="15.75" customHeight="1">
      <c r="C201" s="37"/>
      <c r="G201" s="3"/>
    </row>
    <row r="202" ht="15.75" customHeight="1">
      <c r="C202" s="37"/>
      <c r="G202" s="3"/>
    </row>
    <row r="203" ht="15.75" customHeight="1">
      <c r="C203" s="37"/>
      <c r="G203" s="3"/>
    </row>
    <row r="204" ht="15.75" customHeight="1">
      <c r="C204" s="37"/>
      <c r="G204" s="3"/>
    </row>
    <row r="205" ht="15.75" customHeight="1">
      <c r="C205" s="37"/>
      <c r="G205" s="3"/>
    </row>
    <row r="206" ht="15.75" customHeight="1">
      <c r="C206" s="37"/>
      <c r="G206" s="3"/>
    </row>
    <row r="207" ht="15.75" customHeight="1">
      <c r="C207" s="37"/>
      <c r="G207" s="3"/>
    </row>
    <row r="208" ht="15.75" customHeight="1">
      <c r="C208" s="37"/>
      <c r="G208" s="3"/>
    </row>
    <row r="209" ht="15.75" customHeight="1">
      <c r="C209" s="37"/>
      <c r="G209" s="3"/>
    </row>
    <row r="210" ht="15.75" customHeight="1">
      <c r="C210" s="37"/>
      <c r="G210" s="3"/>
    </row>
    <row r="211" ht="15.75" customHeight="1">
      <c r="C211" s="37"/>
      <c r="G211" s="3"/>
    </row>
    <row r="212" ht="15.75" customHeight="1">
      <c r="C212" s="37"/>
      <c r="G212" s="3"/>
    </row>
    <row r="213" ht="15.75" customHeight="1">
      <c r="C213" s="37"/>
      <c r="G213" s="3"/>
    </row>
    <row r="214" ht="15.75" customHeight="1">
      <c r="C214" s="37"/>
      <c r="G214" s="3"/>
    </row>
    <row r="215" ht="15.75" customHeight="1">
      <c r="C215" s="37"/>
      <c r="G215" s="3"/>
    </row>
    <row r="216" ht="15.75" customHeight="1">
      <c r="C216" s="37"/>
      <c r="G216" s="3"/>
    </row>
    <row r="217" ht="15.75" customHeight="1">
      <c r="C217" s="37"/>
      <c r="G217" s="3"/>
    </row>
    <row r="218" ht="15.75" customHeight="1">
      <c r="C218" s="37"/>
      <c r="G218" s="3"/>
    </row>
    <row r="219" ht="15.75" customHeight="1">
      <c r="C219" s="37"/>
      <c r="G219" s="3"/>
    </row>
    <row r="220" ht="15.75" customHeight="1">
      <c r="C220" s="37"/>
      <c r="G220" s="3"/>
    </row>
    <row r="221" ht="15.75" customHeight="1">
      <c r="C221" s="37"/>
      <c r="G221" s="3"/>
    </row>
    <row r="222" ht="15.75" customHeight="1">
      <c r="C222" s="37"/>
      <c r="G222" s="3"/>
    </row>
    <row r="223" ht="15.75" customHeight="1">
      <c r="C223" s="37"/>
      <c r="G223" s="3"/>
    </row>
    <row r="224" ht="15.75" customHeight="1">
      <c r="C224" s="37"/>
      <c r="G224" s="3"/>
    </row>
    <row r="225" ht="15.75" customHeight="1">
      <c r="C225" s="37"/>
      <c r="G225" s="3"/>
    </row>
    <row r="226" ht="15.75" customHeight="1">
      <c r="C226" s="37"/>
      <c r="G226" s="3"/>
    </row>
    <row r="227" ht="15.75" customHeight="1">
      <c r="C227" s="37"/>
      <c r="G227" s="3"/>
    </row>
    <row r="228" ht="15.75" customHeight="1">
      <c r="C228" s="37"/>
      <c r="G228" s="3"/>
    </row>
    <row r="229" ht="15.75" customHeight="1">
      <c r="C229" s="37"/>
      <c r="G229" s="3"/>
    </row>
    <row r="230" ht="15.75" customHeight="1">
      <c r="C230" s="37"/>
      <c r="G230" s="3"/>
    </row>
    <row r="231" ht="15.75" customHeight="1">
      <c r="C231" s="37"/>
      <c r="G231" s="3"/>
    </row>
    <row r="232" ht="15.75" customHeight="1">
      <c r="C232" s="37"/>
      <c r="G232" s="3"/>
    </row>
    <row r="233" ht="15.75" customHeight="1">
      <c r="C233" s="37"/>
      <c r="G233" s="3"/>
    </row>
    <row r="234" ht="15.75" customHeight="1">
      <c r="C234" s="37"/>
      <c r="G234" s="3"/>
    </row>
    <row r="235" ht="15.75" customHeight="1">
      <c r="C235" s="37"/>
      <c r="G235" s="3"/>
    </row>
    <row r="236" ht="15.75" customHeight="1">
      <c r="C236" s="37"/>
      <c r="G236" s="3"/>
    </row>
    <row r="237" ht="15.75" customHeight="1">
      <c r="C237" s="37"/>
      <c r="G237" s="3"/>
    </row>
    <row r="238" ht="15.75" customHeight="1">
      <c r="C238" s="37"/>
      <c r="G238" s="3"/>
    </row>
    <row r="239" ht="15.75" customHeight="1">
      <c r="C239" s="37"/>
      <c r="G239" s="3"/>
    </row>
    <row r="240" ht="15.75" customHeight="1">
      <c r="C240" s="37"/>
      <c r="G240" s="3"/>
    </row>
    <row r="241" ht="15.75" customHeight="1">
      <c r="C241" s="37"/>
      <c r="G241" s="3"/>
    </row>
    <row r="242" ht="15.75" customHeight="1">
      <c r="C242" s="37"/>
      <c r="G242" s="3"/>
    </row>
    <row r="243" ht="15.75" customHeight="1">
      <c r="C243" s="37"/>
      <c r="G243" s="3"/>
    </row>
    <row r="244" ht="15.75" customHeight="1">
      <c r="C244" s="37"/>
      <c r="G244" s="3"/>
    </row>
    <row r="245" ht="15.75" customHeight="1">
      <c r="C245" s="37"/>
      <c r="G245" s="3"/>
    </row>
    <row r="246" ht="15.75" customHeight="1">
      <c r="C246" s="37"/>
      <c r="G246" s="3"/>
    </row>
    <row r="247" ht="15.75" customHeight="1">
      <c r="C247" s="37"/>
      <c r="G247" s="3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C1"/>
    <mergeCell ref="B3:C3"/>
    <mergeCell ref="A13:C13"/>
    <mergeCell ref="A21:C21"/>
  </mergeCells>
  <dataValidations>
    <dataValidation type="list" allowBlank="1" showErrorMessage="1" sqref="B16">
      <formula1>Settings!$A$2:$A$3</formula1>
    </dataValidation>
    <dataValidation type="list" allowBlank="1" showErrorMessage="1" sqref="B18">
      <formula1>Settings!$E$2:$E$12</formula1>
    </dataValidation>
    <dataValidation type="list" allowBlank="1" showErrorMessage="1" sqref="B17">
      <formula1>Settings!$C$2:$C$8</formula1>
    </dataValidation>
    <dataValidation type="list" allowBlank="1" showErrorMessage="1" sqref="B14">
      <formula1>'Pricing Policies'!$A$5:$A$7</formula1>
    </dataValidation>
    <dataValidation type="list" allowBlank="1" showErrorMessage="1" sqref="B4">
      <formula1>"- - - - -,TRF,TOUR HD,TOUR FD,TOUR FD+"</formula1>
    </dataValidation>
    <dataValidation type="list" allowBlank="1" showErrorMessage="1" sqref="B15">
      <formula1>'Pricing Policies'!$D$3:$F$3</formula1>
    </dataValidation>
    <dataValidation type="list" allowBlank="1" showErrorMessage="1" sqref="B3">
      <formula1>'Tour List'!$A$2:$A$68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17.0"/>
    <col customWidth="1" min="3" max="6" width="14.43"/>
    <col customWidth="1" min="30" max="30" width="18.0"/>
  </cols>
  <sheetData>
    <row r="1">
      <c r="A1" s="59" t="s">
        <v>33</v>
      </c>
      <c r="B1" s="59" t="s">
        <v>34</v>
      </c>
      <c r="C1" s="59" t="s">
        <v>35</v>
      </c>
      <c r="D1" s="59" t="s">
        <v>36</v>
      </c>
      <c r="E1" s="59" t="s">
        <v>37</v>
      </c>
      <c r="F1" s="59" t="s">
        <v>38</v>
      </c>
      <c r="G1" s="59" t="s">
        <v>39</v>
      </c>
      <c r="H1" s="59" t="s">
        <v>40</v>
      </c>
      <c r="I1" s="59" t="s">
        <v>41</v>
      </c>
      <c r="J1" s="59" t="s">
        <v>42</v>
      </c>
      <c r="K1" s="59" t="s">
        <v>43</v>
      </c>
      <c r="L1" s="59" t="s">
        <v>44</v>
      </c>
      <c r="M1" s="59" t="s">
        <v>45</v>
      </c>
      <c r="N1" s="59" t="s">
        <v>46</v>
      </c>
      <c r="O1" s="59" t="s">
        <v>47</v>
      </c>
      <c r="P1" s="59" t="s">
        <v>48</v>
      </c>
      <c r="Q1" s="59" t="s">
        <v>49</v>
      </c>
      <c r="R1" s="59" t="s">
        <v>50</v>
      </c>
      <c r="S1" s="59" t="s">
        <v>51</v>
      </c>
      <c r="T1" s="59" t="s">
        <v>52</v>
      </c>
      <c r="U1" s="59" t="s">
        <v>53</v>
      </c>
      <c r="V1" s="59" t="s">
        <v>54</v>
      </c>
      <c r="W1" s="59" t="s">
        <v>55</v>
      </c>
      <c r="X1" s="60" t="s">
        <v>56</v>
      </c>
      <c r="Y1" s="59" t="s">
        <v>57</v>
      </c>
      <c r="Z1" s="59" t="s">
        <v>58</v>
      </c>
      <c r="AA1" s="59" t="s">
        <v>59</v>
      </c>
      <c r="AB1" s="59" t="s">
        <v>60</v>
      </c>
      <c r="AC1" s="59" t="s">
        <v>61</v>
      </c>
      <c r="AD1" s="59" t="s">
        <v>62</v>
      </c>
      <c r="AE1" s="59" t="s">
        <v>63</v>
      </c>
      <c r="AF1" s="59" t="s">
        <v>64</v>
      </c>
    </row>
    <row r="2">
      <c r="A2" s="12" t="s">
        <v>65</v>
      </c>
      <c r="B2" s="12" t="s">
        <v>66</v>
      </c>
      <c r="C2" s="12" t="s">
        <v>67</v>
      </c>
      <c r="D2" s="61" t="s">
        <v>68</v>
      </c>
      <c r="F2" s="12" t="s">
        <v>69</v>
      </c>
      <c r="G2" s="62">
        <v>750.0</v>
      </c>
      <c r="H2" s="62">
        <v>75.0</v>
      </c>
      <c r="I2" s="62">
        <v>11.0</v>
      </c>
      <c r="J2" s="62">
        <v>1.0</v>
      </c>
      <c r="K2" s="62">
        <v>30.0</v>
      </c>
      <c r="M2" s="62">
        <v>0.0</v>
      </c>
      <c r="N2" s="12" t="s">
        <v>70</v>
      </c>
      <c r="O2" s="12" t="s">
        <v>71</v>
      </c>
      <c r="P2" s="62">
        <v>0.1</v>
      </c>
      <c r="Q2" s="62">
        <v>0.05</v>
      </c>
      <c r="R2" s="62">
        <v>0.0</v>
      </c>
      <c r="S2" s="62">
        <v>0.0</v>
      </c>
      <c r="T2" s="63">
        <v>1050.0</v>
      </c>
      <c r="U2" s="62">
        <v>104.96489702540123</v>
      </c>
      <c r="V2" s="62">
        <v>57.73069336397069</v>
      </c>
      <c r="W2" s="62">
        <v>1215.0</v>
      </c>
      <c r="X2" s="62">
        <v>1155.0</v>
      </c>
      <c r="Y2" s="62">
        <v>0.1</v>
      </c>
      <c r="Z2" s="62">
        <v>1050.0</v>
      </c>
      <c r="AA2" s="62">
        <v>0.3</v>
      </c>
      <c r="AB2" s="62">
        <v>315.0</v>
      </c>
      <c r="AC2" s="62">
        <v>365.0</v>
      </c>
      <c r="AD2" s="62">
        <v>735.0</v>
      </c>
      <c r="AE2" s="62">
        <v>810.0</v>
      </c>
      <c r="AF2" s="62">
        <v>850.0</v>
      </c>
    </row>
    <row r="3">
      <c r="A3" s="12" t="s">
        <v>65</v>
      </c>
      <c r="B3" s="12" t="s">
        <v>66</v>
      </c>
      <c r="C3" s="12" t="s">
        <v>67</v>
      </c>
      <c r="D3" s="61" t="s">
        <v>72</v>
      </c>
      <c r="F3" s="12" t="s">
        <v>69</v>
      </c>
      <c r="G3" s="62">
        <v>750.0</v>
      </c>
      <c r="H3" s="62">
        <v>75.0</v>
      </c>
      <c r="I3" s="62">
        <v>11.0</v>
      </c>
      <c r="J3" s="62">
        <v>1.0</v>
      </c>
      <c r="K3" s="62">
        <v>30.0</v>
      </c>
      <c r="M3" s="62">
        <v>0.0</v>
      </c>
      <c r="N3" s="12" t="s">
        <v>70</v>
      </c>
      <c r="O3" s="12" t="s">
        <v>71</v>
      </c>
      <c r="P3" s="62">
        <v>0.1</v>
      </c>
      <c r="Q3" s="62">
        <v>0.05</v>
      </c>
      <c r="R3" s="62">
        <v>0.0</v>
      </c>
      <c r="S3" s="62">
        <v>0.0</v>
      </c>
      <c r="T3" s="63">
        <v>1050.0</v>
      </c>
      <c r="U3" s="62">
        <v>104.96489702540123</v>
      </c>
      <c r="V3" s="62">
        <v>57.73069336397069</v>
      </c>
      <c r="W3" s="62">
        <v>1215.0</v>
      </c>
      <c r="X3" s="62">
        <v>1155.0</v>
      </c>
      <c r="Y3" s="62">
        <v>0.1</v>
      </c>
      <c r="Z3" s="62">
        <v>1050.0</v>
      </c>
      <c r="AA3" s="62">
        <v>0.3</v>
      </c>
      <c r="AB3" s="62">
        <v>315.0</v>
      </c>
      <c r="AC3" s="62">
        <v>365.0</v>
      </c>
      <c r="AD3" s="62">
        <v>735.0</v>
      </c>
      <c r="AE3" s="62">
        <v>810.0</v>
      </c>
      <c r="AF3" s="62">
        <v>850.0</v>
      </c>
    </row>
    <row r="4">
      <c r="A4" s="12" t="s">
        <v>65</v>
      </c>
      <c r="B4" s="12" t="s">
        <v>73</v>
      </c>
      <c r="C4" s="12" t="s">
        <v>74</v>
      </c>
      <c r="D4" s="61" t="s">
        <v>75</v>
      </c>
      <c r="F4" s="12" t="s">
        <v>69</v>
      </c>
      <c r="G4" s="62">
        <v>350.0</v>
      </c>
      <c r="H4" s="62">
        <v>250.0</v>
      </c>
      <c r="I4" s="62">
        <v>12.0</v>
      </c>
      <c r="J4" s="62">
        <v>4.0</v>
      </c>
      <c r="K4" s="62">
        <v>20.0</v>
      </c>
      <c r="M4" s="62">
        <v>0.0</v>
      </c>
      <c r="N4" s="12" t="s">
        <v>20</v>
      </c>
      <c r="O4" s="12" t="s">
        <v>76</v>
      </c>
      <c r="P4" s="62">
        <v>0.1</v>
      </c>
      <c r="Q4" s="62">
        <v>0.05</v>
      </c>
      <c r="R4" s="62">
        <v>0.0</v>
      </c>
      <c r="S4" s="62">
        <v>0.0</v>
      </c>
      <c r="T4" s="63">
        <v>1005.0</v>
      </c>
      <c r="U4" s="62">
        <v>100.10019566623384</v>
      </c>
      <c r="V4" s="62">
        <v>55.055107616428614</v>
      </c>
      <c r="W4" s="62">
        <v>1160.0</v>
      </c>
      <c r="X4" s="62">
        <v>1110.0</v>
      </c>
      <c r="Y4" s="62">
        <v>0.0</v>
      </c>
      <c r="Z4" s="62">
        <v>1110.0</v>
      </c>
      <c r="AA4" s="62">
        <v>0.3</v>
      </c>
      <c r="AB4" s="62">
        <v>335.0</v>
      </c>
      <c r="AC4" s="62">
        <v>390.0</v>
      </c>
      <c r="AD4" s="62">
        <v>810.0</v>
      </c>
      <c r="AE4" s="62">
        <v>890.0</v>
      </c>
      <c r="AF4" s="62">
        <v>935.0</v>
      </c>
    </row>
    <row r="5">
      <c r="A5" s="12" t="s">
        <v>65</v>
      </c>
      <c r="B5" s="12" t="s">
        <v>73</v>
      </c>
      <c r="C5" s="12" t="s">
        <v>77</v>
      </c>
      <c r="D5" s="61" t="s">
        <v>78</v>
      </c>
      <c r="F5" s="12" t="s">
        <v>79</v>
      </c>
      <c r="G5" s="62">
        <v>500.0</v>
      </c>
      <c r="H5" s="62">
        <v>90.0</v>
      </c>
      <c r="I5" s="62">
        <v>6.0</v>
      </c>
      <c r="J5" s="62">
        <v>1.0</v>
      </c>
      <c r="K5" s="62">
        <v>27.0</v>
      </c>
      <c r="M5" s="62">
        <v>0.0</v>
      </c>
      <c r="N5" s="12" t="s">
        <v>80</v>
      </c>
      <c r="O5" s="12" t="s">
        <v>22</v>
      </c>
      <c r="P5" s="62">
        <v>0.1</v>
      </c>
      <c r="Q5" s="62">
        <v>0.05</v>
      </c>
      <c r="R5" s="62">
        <v>0.0</v>
      </c>
      <c r="S5" s="62">
        <v>0.0</v>
      </c>
      <c r="T5" s="63">
        <v>615.0</v>
      </c>
      <c r="U5" s="62">
        <v>61.17275414924203</v>
      </c>
      <c r="V5" s="62">
        <v>33.645014782083116</v>
      </c>
      <c r="W5" s="62">
        <v>710.0</v>
      </c>
      <c r="X5" s="62">
        <v>680.0</v>
      </c>
      <c r="Y5" s="62">
        <v>0.1</v>
      </c>
      <c r="Z5" s="62">
        <v>620.0</v>
      </c>
      <c r="AA5" s="62">
        <v>0.3</v>
      </c>
      <c r="AB5" s="62">
        <v>190.0</v>
      </c>
      <c r="AC5" s="62">
        <v>220.0</v>
      </c>
      <c r="AD5" s="62">
        <v>440.0</v>
      </c>
      <c r="AE5" s="62">
        <v>480.0</v>
      </c>
      <c r="AF5" s="62">
        <v>505.0</v>
      </c>
    </row>
    <row r="6">
      <c r="A6" s="12" t="s">
        <v>65</v>
      </c>
      <c r="B6" s="12" t="s">
        <v>73</v>
      </c>
      <c r="C6" s="12" t="s">
        <v>67</v>
      </c>
      <c r="D6" s="61" t="s">
        <v>81</v>
      </c>
      <c r="F6" s="12" t="s">
        <v>9</v>
      </c>
      <c r="G6" s="62">
        <v>250.0</v>
      </c>
      <c r="H6" s="62">
        <v>140.0</v>
      </c>
      <c r="I6" s="62">
        <v>10.0</v>
      </c>
      <c r="J6" s="62">
        <v>3.0</v>
      </c>
      <c r="K6" s="62">
        <v>0.0</v>
      </c>
      <c r="M6" s="62">
        <v>0.0</v>
      </c>
      <c r="N6" s="12" t="s">
        <v>70</v>
      </c>
      <c r="O6" s="12" t="s">
        <v>71</v>
      </c>
      <c r="P6" s="62">
        <v>0.1</v>
      </c>
      <c r="Q6" s="62">
        <v>0.05</v>
      </c>
      <c r="R6" s="62">
        <v>0.0</v>
      </c>
      <c r="S6" s="62">
        <v>0.0</v>
      </c>
      <c r="T6" s="63">
        <v>740.0</v>
      </c>
      <c r="U6" s="62">
        <v>73.8347847117427</v>
      </c>
      <c r="V6" s="62">
        <v>40.609131591458485</v>
      </c>
      <c r="W6" s="62">
        <v>855.0</v>
      </c>
      <c r="X6" s="62">
        <v>815.0</v>
      </c>
      <c r="Y6" s="62">
        <v>0.1</v>
      </c>
      <c r="Z6" s="62">
        <v>745.0</v>
      </c>
      <c r="AA6" s="62">
        <v>0.3</v>
      </c>
      <c r="AB6" s="62">
        <v>225.0</v>
      </c>
      <c r="AC6" s="62">
        <v>260.0</v>
      </c>
      <c r="AD6" s="62">
        <v>525.0</v>
      </c>
      <c r="AE6" s="62">
        <v>580.0</v>
      </c>
      <c r="AF6" s="62">
        <v>605.0</v>
      </c>
    </row>
    <row r="7">
      <c r="A7" s="12" t="s">
        <v>65</v>
      </c>
      <c r="B7" s="12" t="s">
        <v>82</v>
      </c>
      <c r="C7" s="12" t="s">
        <v>83</v>
      </c>
      <c r="D7" s="61" t="s">
        <v>84</v>
      </c>
      <c r="F7" s="12" t="s">
        <v>9</v>
      </c>
      <c r="G7" s="62">
        <v>250.0</v>
      </c>
      <c r="H7" s="62">
        <v>80.0</v>
      </c>
      <c r="I7" s="62">
        <v>8.0</v>
      </c>
      <c r="J7" s="62">
        <v>2.0</v>
      </c>
      <c r="K7" s="62">
        <v>0.0</v>
      </c>
      <c r="M7" s="62">
        <v>0.0</v>
      </c>
      <c r="N7" s="12" t="s">
        <v>80</v>
      </c>
      <c r="O7" s="12" t="s">
        <v>71</v>
      </c>
      <c r="P7" s="62">
        <v>0.1</v>
      </c>
      <c r="Q7" s="62">
        <v>0.05</v>
      </c>
      <c r="R7" s="62">
        <v>0.0</v>
      </c>
      <c r="S7" s="62">
        <v>0.0</v>
      </c>
      <c r="T7" s="63">
        <v>685.0</v>
      </c>
      <c r="U7" s="62">
        <v>68.15958975434047</v>
      </c>
      <c r="V7" s="62">
        <v>37.48777436488726</v>
      </c>
      <c r="W7" s="62">
        <v>790.0</v>
      </c>
      <c r="X7" s="62">
        <v>755.0</v>
      </c>
      <c r="Y7" s="62">
        <v>0.1</v>
      </c>
      <c r="Z7" s="62">
        <v>690.0</v>
      </c>
      <c r="AA7" s="62">
        <v>0.3</v>
      </c>
      <c r="AB7" s="62">
        <v>210.0</v>
      </c>
      <c r="AC7" s="62">
        <v>245.0</v>
      </c>
      <c r="AD7" s="62">
        <v>485.0</v>
      </c>
      <c r="AE7" s="62">
        <v>535.0</v>
      </c>
      <c r="AF7" s="62">
        <v>560.0</v>
      </c>
    </row>
    <row r="8">
      <c r="A8" s="12" t="s">
        <v>65</v>
      </c>
      <c r="B8" s="12" t="s">
        <v>82</v>
      </c>
      <c r="C8" s="12" t="s">
        <v>85</v>
      </c>
      <c r="D8" s="61" t="s">
        <v>86</v>
      </c>
      <c r="F8" s="12" t="s">
        <v>9</v>
      </c>
      <c r="G8" s="62">
        <v>250.0</v>
      </c>
      <c r="H8" s="62">
        <v>60.0</v>
      </c>
      <c r="I8" s="62">
        <v>8.0</v>
      </c>
      <c r="J8" s="62">
        <v>1.0</v>
      </c>
      <c r="K8" s="62">
        <v>0.0</v>
      </c>
      <c r="M8" s="62">
        <v>0.0</v>
      </c>
      <c r="N8" s="12" t="s">
        <v>20</v>
      </c>
      <c r="O8" s="12" t="s">
        <v>71</v>
      </c>
      <c r="P8" s="62">
        <v>0.1</v>
      </c>
      <c r="Q8" s="62">
        <v>0.05</v>
      </c>
      <c r="R8" s="62">
        <v>0.0</v>
      </c>
      <c r="S8" s="62">
        <v>0.0</v>
      </c>
      <c r="T8" s="63">
        <v>545.0</v>
      </c>
      <c r="U8" s="62">
        <v>54.366754275240865</v>
      </c>
      <c r="V8" s="62">
        <v>29.901714851382476</v>
      </c>
      <c r="W8" s="62">
        <v>630.0</v>
      </c>
      <c r="X8" s="62">
        <v>600.0</v>
      </c>
      <c r="Z8" s="62">
        <v>600.0</v>
      </c>
      <c r="AA8" s="62">
        <v>0.3</v>
      </c>
      <c r="AB8" s="62">
        <v>180.0</v>
      </c>
      <c r="AC8" s="62">
        <v>210.0</v>
      </c>
      <c r="AD8" s="62">
        <v>440.0</v>
      </c>
      <c r="AE8" s="62">
        <v>485.0</v>
      </c>
      <c r="AF8" s="62">
        <v>505.0</v>
      </c>
    </row>
    <row r="9">
      <c r="A9" s="12" t="s">
        <v>65</v>
      </c>
      <c r="B9" s="12" t="s">
        <v>82</v>
      </c>
      <c r="C9" s="12" t="s">
        <v>85</v>
      </c>
      <c r="D9" s="61" t="s">
        <v>87</v>
      </c>
      <c r="F9" s="12" t="s">
        <v>9</v>
      </c>
      <c r="G9" s="62">
        <v>250.0</v>
      </c>
      <c r="H9" s="62">
        <v>60.0</v>
      </c>
      <c r="I9" s="62">
        <v>8.0</v>
      </c>
      <c r="J9" s="62">
        <v>1.0</v>
      </c>
      <c r="K9" s="62">
        <v>0.0</v>
      </c>
      <c r="M9" s="62">
        <v>0.0</v>
      </c>
      <c r="N9" s="12" t="s">
        <v>20</v>
      </c>
      <c r="O9" s="12" t="s">
        <v>71</v>
      </c>
      <c r="P9" s="62">
        <v>0.1</v>
      </c>
      <c r="Q9" s="62">
        <v>0.05</v>
      </c>
      <c r="R9" s="62">
        <v>0.0</v>
      </c>
      <c r="S9" s="62">
        <v>0.0</v>
      </c>
      <c r="T9" s="63">
        <v>545.0</v>
      </c>
      <c r="U9" s="62">
        <v>54.366754275240865</v>
      </c>
      <c r="V9" s="62">
        <v>29.901714851382476</v>
      </c>
      <c r="W9" s="62">
        <v>630.0</v>
      </c>
      <c r="X9" s="62">
        <v>600.0</v>
      </c>
      <c r="Z9" s="62">
        <v>600.0</v>
      </c>
      <c r="AA9" s="62">
        <v>0.3</v>
      </c>
      <c r="AB9" s="62">
        <v>180.0</v>
      </c>
      <c r="AC9" s="62">
        <v>210.0</v>
      </c>
      <c r="AD9" s="62">
        <v>440.0</v>
      </c>
      <c r="AE9" s="62">
        <v>485.0</v>
      </c>
      <c r="AF9" s="62">
        <v>505.0</v>
      </c>
    </row>
    <row r="10">
      <c r="A10" s="12" t="s">
        <v>65</v>
      </c>
      <c r="B10" s="12" t="s">
        <v>88</v>
      </c>
      <c r="C10" s="12" t="s">
        <v>89</v>
      </c>
      <c r="D10" s="61" t="s">
        <v>90</v>
      </c>
      <c r="F10" s="12" t="s">
        <v>79</v>
      </c>
      <c r="G10" s="62">
        <v>150.0</v>
      </c>
      <c r="I10" s="62">
        <v>3.0</v>
      </c>
      <c r="K10" s="62">
        <v>0.0</v>
      </c>
      <c r="M10" s="62">
        <v>0.0</v>
      </c>
      <c r="N10" s="12" t="s">
        <v>80</v>
      </c>
      <c r="O10" s="12" t="s">
        <v>71</v>
      </c>
      <c r="P10" s="62">
        <v>0.1</v>
      </c>
      <c r="Q10" s="62">
        <v>0.05</v>
      </c>
      <c r="R10" s="62">
        <v>0.0</v>
      </c>
      <c r="S10" s="62">
        <v>0.0</v>
      </c>
      <c r="T10" s="63">
        <v>235.0</v>
      </c>
      <c r="U10" s="62">
        <v>23.09985898338517</v>
      </c>
      <c r="V10" s="62">
        <v>12.704922440861843</v>
      </c>
      <c r="W10" s="62">
        <v>270.0</v>
      </c>
      <c r="X10" s="62">
        <v>260.0</v>
      </c>
      <c r="Y10" s="62">
        <v>0.1</v>
      </c>
      <c r="Z10" s="62">
        <v>240.0</v>
      </c>
      <c r="AA10" s="62">
        <v>0.3</v>
      </c>
      <c r="AB10" s="62">
        <v>75.0</v>
      </c>
      <c r="AC10" s="62">
        <v>90.0</v>
      </c>
      <c r="AD10" s="62">
        <v>170.0</v>
      </c>
      <c r="AE10" s="62">
        <v>190.0</v>
      </c>
      <c r="AF10" s="62">
        <v>200.0</v>
      </c>
    </row>
    <row r="11">
      <c r="A11" s="12" t="s">
        <v>65</v>
      </c>
      <c r="B11" s="12" t="s">
        <v>88</v>
      </c>
      <c r="C11" s="12" t="s">
        <v>85</v>
      </c>
      <c r="D11" s="61" t="s">
        <v>91</v>
      </c>
      <c r="F11" s="12" t="s">
        <v>92</v>
      </c>
      <c r="G11" s="62">
        <v>150.0</v>
      </c>
      <c r="H11" s="62">
        <v>60.0</v>
      </c>
      <c r="I11" s="62">
        <v>5.0</v>
      </c>
      <c r="J11" s="62">
        <v>1.0</v>
      </c>
      <c r="K11" s="62">
        <v>0.0</v>
      </c>
      <c r="M11" s="62">
        <v>0.0</v>
      </c>
      <c r="N11" s="12" t="s">
        <v>20</v>
      </c>
      <c r="O11" s="12" t="s">
        <v>71</v>
      </c>
      <c r="P11" s="62">
        <v>0.1</v>
      </c>
      <c r="Q11" s="62">
        <v>0.05</v>
      </c>
      <c r="R11" s="62">
        <v>0.0</v>
      </c>
      <c r="S11" s="62">
        <v>0.0</v>
      </c>
      <c r="T11" s="63">
        <v>370.0</v>
      </c>
      <c r="U11" s="62">
        <v>36.80619569351245</v>
      </c>
      <c r="V11" s="62">
        <v>20.24340763143185</v>
      </c>
      <c r="W11" s="62">
        <v>430.0</v>
      </c>
      <c r="X11" s="62">
        <v>260.0</v>
      </c>
      <c r="Z11" s="62">
        <v>260.0</v>
      </c>
      <c r="AA11" s="62">
        <v>0.3</v>
      </c>
      <c r="AB11" s="62">
        <v>80.0</v>
      </c>
      <c r="AC11" s="62">
        <v>95.0</v>
      </c>
      <c r="AD11" s="62">
        <v>150.0</v>
      </c>
      <c r="AE11" s="62">
        <v>165.0</v>
      </c>
      <c r="AF11" s="62">
        <v>175.0</v>
      </c>
    </row>
    <row r="12" ht="15.75" customHeight="1">
      <c r="A12" s="12" t="s">
        <v>65</v>
      </c>
      <c r="B12" s="12" t="s">
        <v>88</v>
      </c>
      <c r="C12" s="12" t="s">
        <v>85</v>
      </c>
      <c r="D12" s="61" t="s">
        <v>93</v>
      </c>
      <c r="F12" s="12" t="s">
        <v>9</v>
      </c>
      <c r="G12" s="62">
        <v>200.0</v>
      </c>
      <c r="H12" s="62">
        <v>60.0</v>
      </c>
      <c r="I12" s="62">
        <v>7.0</v>
      </c>
      <c r="J12" s="62">
        <v>1.0</v>
      </c>
      <c r="K12" s="62">
        <v>0.0</v>
      </c>
      <c r="M12" s="62">
        <v>0.0</v>
      </c>
      <c r="N12" s="12" t="s">
        <v>20</v>
      </c>
      <c r="O12" s="12" t="s">
        <v>71</v>
      </c>
      <c r="P12" s="62">
        <v>0.1</v>
      </c>
      <c r="Q12" s="62">
        <v>0.05</v>
      </c>
      <c r="R12" s="62">
        <v>0.0</v>
      </c>
      <c r="S12" s="62">
        <v>0.0</v>
      </c>
      <c r="T12" s="63">
        <v>475.0</v>
      </c>
      <c r="U12" s="62">
        <v>47.19071160825751</v>
      </c>
      <c r="V12" s="62">
        <v>25.95489138454163</v>
      </c>
      <c r="W12" s="62">
        <v>550.0</v>
      </c>
      <c r="X12" s="62">
        <v>260.0</v>
      </c>
      <c r="Z12" s="62">
        <v>260.0</v>
      </c>
      <c r="AA12" s="62">
        <v>0.3</v>
      </c>
      <c r="AB12" s="62">
        <v>80.0</v>
      </c>
      <c r="AC12" s="62">
        <v>95.0</v>
      </c>
      <c r="AD12" s="62">
        <v>120.0</v>
      </c>
      <c r="AE12" s="62">
        <v>130.0</v>
      </c>
      <c r="AF12" s="62">
        <v>140.0</v>
      </c>
    </row>
    <row r="13" ht="15.75" customHeight="1">
      <c r="A13" s="12" t="s">
        <v>65</v>
      </c>
      <c r="B13" s="12" t="s">
        <v>88</v>
      </c>
      <c r="C13" s="12" t="s">
        <v>85</v>
      </c>
      <c r="D13" s="61" t="s">
        <v>94</v>
      </c>
      <c r="F13" s="12" t="s">
        <v>9</v>
      </c>
      <c r="G13" s="62">
        <v>200.0</v>
      </c>
      <c r="H13" s="62">
        <v>60.0</v>
      </c>
      <c r="I13" s="62">
        <v>7.0</v>
      </c>
      <c r="J13" s="62">
        <v>1.0</v>
      </c>
      <c r="K13" s="62">
        <v>0.0</v>
      </c>
      <c r="M13" s="62">
        <v>0.0</v>
      </c>
      <c r="N13" s="12" t="s">
        <v>20</v>
      </c>
      <c r="O13" s="12" t="s">
        <v>71</v>
      </c>
      <c r="P13" s="62">
        <v>0.1</v>
      </c>
      <c r="Q13" s="62">
        <v>0.05</v>
      </c>
      <c r="R13" s="62">
        <v>0.0</v>
      </c>
      <c r="S13" s="62">
        <v>0.0</v>
      </c>
      <c r="T13" s="63">
        <v>475.0</v>
      </c>
      <c r="U13" s="62">
        <v>47.19071160825751</v>
      </c>
      <c r="V13" s="62">
        <v>25.95489138454163</v>
      </c>
      <c r="W13" s="62">
        <v>550.0</v>
      </c>
      <c r="X13" s="62">
        <v>525.0</v>
      </c>
      <c r="Z13" s="62">
        <v>525.0</v>
      </c>
      <c r="AA13" s="62">
        <v>0.3</v>
      </c>
      <c r="AB13" s="62">
        <v>160.0</v>
      </c>
      <c r="AC13" s="62">
        <v>185.0</v>
      </c>
      <c r="AD13" s="62">
        <v>385.0</v>
      </c>
      <c r="AE13" s="62">
        <v>425.0</v>
      </c>
      <c r="AF13" s="62">
        <v>445.0</v>
      </c>
    </row>
    <row r="14" ht="15.75" customHeight="1">
      <c r="A14" s="12" t="s">
        <v>65</v>
      </c>
      <c r="B14" s="12" t="s">
        <v>95</v>
      </c>
      <c r="C14" s="12" t="s">
        <v>96</v>
      </c>
      <c r="D14" s="61" t="s">
        <v>97</v>
      </c>
      <c r="F14" s="12" t="s">
        <v>69</v>
      </c>
      <c r="G14" s="62">
        <v>300.0</v>
      </c>
      <c r="I14" s="62">
        <v>11.0</v>
      </c>
      <c r="K14" s="62">
        <v>0.0</v>
      </c>
      <c r="M14" s="62">
        <v>0.0</v>
      </c>
      <c r="N14" s="12" t="s">
        <v>70</v>
      </c>
      <c r="O14" s="12" t="s">
        <v>22</v>
      </c>
      <c r="P14" s="62">
        <v>0.1</v>
      </c>
      <c r="Q14" s="62">
        <v>0.05</v>
      </c>
      <c r="R14" s="62">
        <v>0.0</v>
      </c>
      <c r="S14" s="62">
        <v>0.0</v>
      </c>
      <c r="T14" s="63">
        <v>605.0</v>
      </c>
      <c r="U14" s="62">
        <v>60.10132436017217</v>
      </c>
      <c r="V14" s="62">
        <v>33.05572839809469</v>
      </c>
      <c r="W14" s="62">
        <v>695.0</v>
      </c>
      <c r="X14" s="62">
        <v>670.0</v>
      </c>
      <c r="Y14" s="62">
        <v>0.1</v>
      </c>
      <c r="Z14" s="62">
        <v>610.0</v>
      </c>
      <c r="AA14" s="62">
        <v>0.3</v>
      </c>
      <c r="AB14" s="62">
        <v>185.0</v>
      </c>
      <c r="AC14" s="62">
        <v>215.0</v>
      </c>
      <c r="AD14" s="62">
        <v>430.0</v>
      </c>
      <c r="AE14" s="62">
        <v>475.0</v>
      </c>
      <c r="AF14" s="62">
        <v>495.0</v>
      </c>
    </row>
    <row r="15" ht="15.75" customHeight="1">
      <c r="A15" s="12" t="s">
        <v>65</v>
      </c>
      <c r="B15" s="12" t="s">
        <v>95</v>
      </c>
      <c r="C15" s="12" t="s">
        <v>98</v>
      </c>
      <c r="D15" s="61" t="s">
        <v>99</v>
      </c>
      <c r="F15" s="12" t="s">
        <v>69</v>
      </c>
      <c r="G15" s="62">
        <v>300.0</v>
      </c>
      <c r="H15" s="62">
        <v>200.0</v>
      </c>
      <c r="I15" s="62">
        <v>11.0</v>
      </c>
      <c r="J15" s="62">
        <v>3.0</v>
      </c>
      <c r="K15" s="62">
        <v>0.0</v>
      </c>
      <c r="M15" s="62">
        <v>0.0</v>
      </c>
      <c r="N15" s="12" t="s">
        <v>80</v>
      </c>
      <c r="O15" s="12" t="s">
        <v>76</v>
      </c>
      <c r="P15" s="62">
        <v>0.1</v>
      </c>
      <c r="Q15" s="62">
        <v>0.05</v>
      </c>
      <c r="R15" s="62">
        <v>0.0</v>
      </c>
      <c r="S15" s="62">
        <v>0.0</v>
      </c>
      <c r="T15" s="63">
        <v>1040.0</v>
      </c>
      <c r="U15" s="62">
        <v>103.97366094651971</v>
      </c>
      <c r="V15" s="62">
        <v>57.185513520585836</v>
      </c>
      <c r="W15" s="62">
        <v>1205.0</v>
      </c>
      <c r="X15" s="62">
        <v>1145.0</v>
      </c>
      <c r="Y15" s="62">
        <v>0.1</v>
      </c>
      <c r="Z15" s="62">
        <v>1045.0</v>
      </c>
      <c r="AA15" s="62">
        <v>0.3</v>
      </c>
      <c r="AB15" s="62">
        <v>315.0</v>
      </c>
      <c r="AC15" s="62">
        <v>365.0</v>
      </c>
      <c r="AD15" s="62">
        <v>735.0</v>
      </c>
      <c r="AE15" s="62">
        <v>810.0</v>
      </c>
      <c r="AF15" s="62">
        <v>850.0</v>
      </c>
    </row>
    <row r="16" ht="15.75" customHeight="1">
      <c r="A16" s="12" t="s">
        <v>65</v>
      </c>
      <c r="B16" s="12" t="s">
        <v>95</v>
      </c>
      <c r="C16" s="12" t="s">
        <v>98</v>
      </c>
      <c r="D16" s="61" t="s">
        <v>100</v>
      </c>
      <c r="F16" s="12" t="s">
        <v>69</v>
      </c>
      <c r="G16" s="62">
        <v>250.0</v>
      </c>
      <c r="H16" s="62">
        <v>200.0</v>
      </c>
      <c r="I16" s="62">
        <v>10.0</v>
      </c>
      <c r="J16" s="62">
        <v>3.0</v>
      </c>
      <c r="K16" s="62">
        <v>0.0</v>
      </c>
      <c r="M16" s="62">
        <v>0.0</v>
      </c>
      <c r="N16" s="12" t="s">
        <v>80</v>
      </c>
      <c r="O16" s="12" t="s">
        <v>76</v>
      </c>
      <c r="P16" s="62">
        <v>0.1</v>
      </c>
      <c r="Q16" s="62">
        <v>0.05</v>
      </c>
      <c r="R16" s="62">
        <v>0.0</v>
      </c>
      <c r="S16" s="62">
        <v>0.0</v>
      </c>
      <c r="T16" s="63">
        <v>935.0</v>
      </c>
      <c r="U16" s="62">
        <v>93.13467931757685</v>
      </c>
      <c r="V16" s="62">
        <v>51.22407362466727</v>
      </c>
      <c r="W16" s="62">
        <v>1080.0</v>
      </c>
      <c r="X16" s="62">
        <v>1030.0</v>
      </c>
      <c r="Y16" s="62">
        <v>0.1</v>
      </c>
      <c r="Z16" s="62">
        <v>940.0</v>
      </c>
      <c r="AA16" s="62">
        <v>0.3</v>
      </c>
      <c r="AB16" s="62">
        <v>285.0</v>
      </c>
      <c r="AC16" s="62">
        <v>330.0</v>
      </c>
      <c r="AD16" s="62">
        <v>660.0</v>
      </c>
      <c r="AE16" s="62">
        <v>730.0</v>
      </c>
      <c r="AF16" s="62">
        <v>765.0</v>
      </c>
    </row>
    <row r="17" ht="15.75" customHeight="1">
      <c r="A17" s="12" t="s">
        <v>65</v>
      </c>
      <c r="B17" s="12" t="s">
        <v>95</v>
      </c>
      <c r="C17" s="12" t="s">
        <v>98</v>
      </c>
      <c r="D17" s="61" t="s">
        <v>101</v>
      </c>
      <c r="F17" s="12" t="s">
        <v>69</v>
      </c>
      <c r="G17" s="62">
        <v>250.0</v>
      </c>
      <c r="H17" s="62">
        <v>200.0</v>
      </c>
      <c r="I17" s="62">
        <v>10.0</v>
      </c>
      <c r="J17" s="62">
        <v>3.0</v>
      </c>
      <c r="K17" s="62">
        <v>0.0</v>
      </c>
      <c r="M17" s="62">
        <v>0.0</v>
      </c>
      <c r="N17" s="12" t="s">
        <v>80</v>
      </c>
      <c r="O17" s="12" t="s">
        <v>76</v>
      </c>
      <c r="P17" s="62">
        <v>0.1</v>
      </c>
      <c r="Q17" s="62">
        <v>0.05</v>
      </c>
      <c r="R17" s="62">
        <v>0.0</v>
      </c>
      <c r="S17" s="62">
        <v>0.0</v>
      </c>
      <c r="T17" s="63">
        <v>935.0</v>
      </c>
      <c r="U17" s="62">
        <v>93.13467931757685</v>
      </c>
      <c r="V17" s="62">
        <v>51.22407362466727</v>
      </c>
      <c r="W17" s="62">
        <v>1080.0</v>
      </c>
      <c r="X17" s="62">
        <v>1030.0</v>
      </c>
      <c r="Y17" s="62">
        <v>0.1</v>
      </c>
      <c r="Z17" s="62">
        <v>940.0</v>
      </c>
      <c r="AA17" s="62">
        <v>0.3</v>
      </c>
      <c r="AB17" s="62">
        <v>285.0</v>
      </c>
      <c r="AC17" s="62">
        <v>330.0</v>
      </c>
      <c r="AD17" s="62">
        <v>660.0</v>
      </c>
      <c r="AE17" s="62">
        <v>730.0</v>
      </c>
      <c r="AF17" s="62">
        <v>765.0</v>
      </c>
    </row>
    <row r="18" ht="15.75" customHeight="1">
      <c r="A18" s="12" t="s">
        <v>65</v>
      </c>
      <c r="B18" s="12" t="s">
        <v>95</v>
      </c>
      <c r="C18" s="12" t="s">
        <v>98</v>
      </c>
      <c r="D18" s="61" t="s">
        <v>102</v>
      </c>
      <c r="F18" s="12" t="s">
        <v>9</v>
      </c>
      <c r="G18" s="62">
        <v>250.0</v>
      </c>
      <c r="H18" s="62">
        <v>200.0</v>
      </c>
      <c r="I18" s="62">
        <v>8.0</v>
      </c>
      <c r="J18" s="62">
        <v>3.0</v>
      </c>
      <c r="K18" s="62">
        <v>0.0</v>
      </c>
      <c r="M18" s="62">
        <v>0.0</v>
      </c>
      <c r="N18" s="12" t="s">
        <v>80</v>
      </c>
      <c r="O18" s="12" t="s">
        <v>76</v>
      </c>
      <c r="P18" s="62">
        <v>0.1</v>
      </c>
      <c r="Q18" s="62">
        <v>0.05</v>
      </c>
      <c r="R18" s="62">
        <v>0.0</v>
      </c>
      <c r="S18" s="62">
        <v>0.0</v>
      </c>
      <c r="T18" s="63">
        <v>830.0</v>
      </c>
      <c r="U18" s="62">
        <v>82.62514964888203</v>
      </c>
      <c r="V18" s="62">
        <v>45.44383230688511</v>
      </c>
      <c r="W18" s="62">
        <v>955.0</v>
      </c>
      <c r="X18" s="62">
        <v>915.0</v>
      </c>
      <c r="Y18" s="62">
        <v>0.1</v>
      </c>
      <c r="Z18" s="62">
        <v>835.0</v>
      </c>
      <c r="AA18" s="62">
        <v>0.3</v>
      </c>
      <c r="AB18" s="62">
        <v>255.0</v>
      </c>
      <c r="AC18" s="62">
        <v>295.0</v>
      </c>
      <c r="AD18" s="62">
        <v>590.0</v>
      </c>
      <c r="AE18" s="62">
        <v>645.0</v>
      </c>
      <c r="AF18" s="62">
        <v>680.0</v>
      </c>
    </row>
    <row r="19" ht="15.75" customHeight="1">
      <c r="A19" s="12" t="s">
        <v>65</v>
      </c>
      <c r="B19" s="12" t="s">
        <v>103</v>
      </c>
      <c r="C19" s="12" t="s">
        <v>104</v>
      </c>
      <c r="D19" s="61" t="s">
        <v>105</v>
      </c>
      <c r="F19" s="12" t="s">
        <v>9</v>
      </c>
      <c r="G19" s="62">
        <v>250.0</v>
      </c>
      <c r="I19" s="62">
        <v>9.0</v>
      </c>
      <c r="K19" s="62">
        <v>0.0</v>
      </c>
      <c r="M19" s="62">
        <v>0.0</v>
      </c>
      <c r="N19" s="12" t="s">
        <v>80</v>
      </c>
      <c r="O19" s="12" t="s">
        <v>71</v>
      </c>
      <c r="P19" s="62">
        <v>0.1</v>
      </c>
      <c r="Q19" s="62">
        <v>0.05</v>
      </c>
      <c r="R19" s="62">
        <v>0.0</v>
      </c>
      <c r="S19" s="62">
        <v>0.0</v>
      </c>
      <c r="T19" s="63">
        <v>640.0</v>
      </c>
      <c r="U19" s="62">
        <v>63.87909155986625</v>
      </c>
      <c r="V19" s="62">
        <v>35.13350035792643</v>
      </c>
      <c r="W19" s="62">
        <v>740.0</v>
      </c>
      <c r="X19" s="62">
        <v>705.0</v>
      </c>
      <c r="Y19" s="62">
        <v>0.1</v>
      </c>
      <c r="Z19" s="62">
        <v>645.0</v>
      </c>
      <c r="AA19" s="62">
        <v>0.3</v>
      </c>
      <c r="AB19" s="62">
        <v>195.0</v>
      </c>
      <c r="AC19" s="62">
        <v>230.0</v>
      </c>
      <c r="AD19" s="62">
        <v>455.0</v>
      </c>
      <c r="AE19" s="62">
        <v>500.0</v>
      </c>
      <c r="AF19" s="62">
        <v>525.0</v>
      </c>
    </row>
    <row r="20" ht="15.75" customHeight="1">
      <c r="A20" s="12" t="s">
        <v>65</v>
      </c>
      <c r="B20" s="12" t="s">
        <v>103</v>
      </c>
      <c r="C20" s="12" t="s">
        <v>106</v>
      </c>
      <c r="D20" s="61" t="s">
        <v>107</v>
      </c>
      <c r="F20" s="12" t="s">
        <v>79</v>
      </c>
      <c r="G20" s="62">
        <v>500.0</v>
      </c>
      <c r="H20" s="62">
        <v>20.0</v>
      </c>
      <c r="I20" s="62">
        <v>6.0</v>
      </c>
      <c r="J20" s="62">
        <v>1.0</v>
      </c>
      <c r="K20" s="62">
        <v>27.0</v>
      </c>
      <c r="M20" s="62">
        <v>0.0</v>
      </c>
      <c r="N20" s="12" t="s">
        <v>80</v>
      </c>
      <c r="O20" s="12" t="s">
        <v>22</v>
      </c>
      <c r="P20" s="62">
        <v>0.1</v>
      </c>
      <c r="Q20" s="62">
        <v>0.05</v>
      </c>
      <c r="R20" s="62">
        <v>0.0</v>
      </c>
      <c r="S20" s="62">
        <v>0.0</v>
      </c>
      <c r="T20" s="63">
        <v>590.0</v>
      </c>
      <c r="U20" s="62">
        <v>58.91785087156174</v>
      </c>
      <c r="V20" s="62">
        <v>32.40481797935896</v>
      </c>
      <c r="W20" s="62">
        <v>685.0</v>
      </c>
      <c r="X20" s="62">
        <v>650.0</v>
      </c>
      <c r="Y20" s="62">
        <v>0.1</v>
      </c>
      <c r="Z20" s="62">
        <v>595.0</v>
      </c>
      <c r="AA20" s="62">
        <v>0.3</v>
      </c>
      <c r="AB20" s="62">
        <v>180.0</v>
      </c>
      <c r="AC20" s="62">
        <v>210.0</v>
      </c>
      <c r="AD20" s="62">
        <v>420.0</v>
      </c>
      <c r="AE20" s="62">
        <v>460.0</v>
      </c>
      <c r="AF20" s="62">
        <v>485.0</v>
      </c>
    </row>
    <row r="21" ht="15.75" customHeight="1">
      <c r="A21" s="12" t="s">
        <v>65</v>
      </c>
      <c r="B21" s="12" t="s">
        <v>103</v>
      </c>
      <c r="C21" s="12" t="s">
        <v>106</v>
      </c>
      <c r="D21" s="61" t="s">
        <v>108</v>
      </c>
      <c r="F21" s="12" t="s">
        <v>69</v>
      </c>
      <c r="G21" s="62">
        <v>750.0</v>
      </c>
      <c r="H21" s="62">
        <v>75.0</v>
      </c>
      <c r="I21" s="62">
        <v>13.0</v>
      </c>
      <c r="J21" s="62">
        <v>1.0</v>
      </c>
      <c r="K21" s="62">
        <v>27.0</v>
      </c>
      <c r="M21" s="62">
        <v>0.0</v>
      </c>
      <c r="N21" s="12" t="s">
        <v>70</v>
      </c>
      <c r="O21" s="12" t="s">
        <v>71</v>
      </c>
      <c r="P21" s="62">
        <v>0.1</v>
      </c>
      <c r="Q21" s="62">
        <v>0.05</v>
      </c>
      <c r="R21" s="62">
        <v>0.0</v>
      </c>
      <c r="S21" s="62">
        <v>0.0</v>
      </c>
      <c r="T21" s="63">
        <v>1115.0</v>
      </c>
      <c r="U21" s="62">
        <v>111.28145996334736</v>
      </c>
      <c r="V21" s="62">
        <v>61.20480297984105</v>
      </c>
      <c r="W21" s="62">
        <v>1290.0</v>
      </c>
      <c r="X21" s="62">
        <v>1230.0</v>
      </c>
      <c r="Y21" s="62">
        <v>0.1</v>
      </c>
      <c r="Z21" s="62">
        <v>1120.0</v>
      </c>
      <c r="AA21" s="62">
        <v>0.3</v>
      </c>
      <c r="AB21" s="62">
        <v>340.0</v>
      </c>
      <c r="AC21" s="62">
        <v>395.0</v>
      </c>
      <c r="AD21" s="62">
        <v>790.0</v>
      </c>
      <c r="AE21" s="62">
        <v>865.0</v>
      </c>
      <c r="AF21" s="62">
        <v>910.0</v>
      </c>
    </row>
    <row r="22" ht="15.75" customHeight="1">
      <c r="A22" s="12" t="s">
        <v>65</v>
      </c>
      <c r="B22" s="12" t="s">
        <v>109</v>
      </c>
      <c r="C22" s="12" t="s">
        <v>110</v>
      </c>
      <c r="D22" s="61" t="s">
        <v>111</v>
      </c>
      <c r="F22" s="12" t="s">
        <v>79</v>
      </c>
      <c r="G22" s="62">
        <v>500.0</v>
      </c>
      <c r="I22" s="62">
        <v>6.0</v>
      </c>
      <c r="K22" s="62">
        <v>30.0</v>
      </c>
      <c r="M22" s="62">
        <v>0.0</v>
      </c>
      <c r="N22" s="12" t="s">
        <v>80</v>
      </c>
      <c r="O22" s="12" t="s">
        <v>71</v>
      </c>
      <c r="P22" s="62">
        <v>0.1</v>
      </c>
      <c r="Q22" s="62">
        <v>0.05</v>
      </c>
      <c r="R22" s="62">
        <v>0.0</v>
      </c>
      <c r="S22" s="62">
        <v>0.0</v>
      </c>
      <c r="T22" s="63">
        <v>650.0</v>
      </c>
      <c r="U22" s="62">
        <v>64.64674851960085</v>
      </c>
      <c r="V22" s="62">
        <v>35.55571168578046</v>
      </c>
      <c r="W22" s="62">
        <v>750.0</v>
      </c>
      <c r="X22" s="62">
        <v>715.0</v>
      </c>
      <c r="Y22" s="62">
        <v>0.1</v>
      </c>
      <c r="Z22" s="62">
        <v>650.0</v>
      </c>
      <c r="AA22" s="62">
        <v>0.3</v>
      </c>
      <c r="AB22" s="62">
        <v>195.0</v>
      </c>
      <c r="AC22" s="62">
        <v>230.0</v>
      </c>
      <c r="AD22" s="62">
        <v>455.0</v>
      </c>
      <c r="AE22" s="62">
        <v>505.0</v>
      </c>
      <c r="AF22" s="62">
        <v>530.0</v>
      </c>
    </row>
    <row r="23" ht="15.75" customHeight="1">
      <c r="A23" s="12" t="s">
        <v>65</v>
      </c>
      <c r="B23" s="12" t="s">
        <v>109</v>
      </c>
      <c r="C23" s="12" t="s">
        <v>112</v>
      </c>
      <c r="D23" s="61" t="s">
        <v>113</v>
      </c>
      <c r="F23" s="12" t="s">
        <v>79</v>
      </c>
      <c r="G23" s="62">
        <v>160.0</v>
      </c>
      <c r="I23" s="62">
        <v>4.0</v>
      </c>
      <c r="K23" s="62">
        <v>0.0</v>
      </c>
      <c r="M23" s="62">
        <v>0.0</v>
      </c>
      <c r="N23" s="12" t="s">
        <v>20</v>
      </c>
      <c r="O23" s="12" t="s">
        <v>22</v>
      </c>
      <c r="P23" s="62">
        <v>0.1</v>
      </c>
      <c r="Q23" s="62">
        <v>0.05</v>
      </c>
      <c r="R23" s="62">
        <v>0.0</v>
      </c>
      <c r="S23" s="62">
        <v>0.0</v>
      </c>
      <c r="T23" s="63">
        <v>190.0</v>
      </c>
      <c r="U23" s="62">
        <v>18.938991094843935</v>
      </c>
      <c r="V23" s="62">
        <v>10.416445102164165</v>
      </c>
      <c r="W23" s="62">
        <v>220.0</v>
      </c>
      <c r="X23" s="62">
        <v>210.0</v>
      </c>
      <c r="Z23" s="62">
        <v>210.0</v>
      </c>
      <c r="AA23" s="62">
        <v>0.3</v>
      </c>
      <c r="AB23" s="62">
        <v>65.0</v>
      </c>
      <c r="AC23" s="62">
        <v>80.0</v>
      </c>
      <c r="AD23" s="62">
        <v>155.0</v>
      </c>
      <c r="AE23" s="62">
        <v>170.0</v>
      </c>
      <c r="AF23" s="62">
        <v>180.0</v>
      </c>
    </row>
    <row r="24" ht="15.75" customHeight="1">
      <c r="A24" s="12" t="s">
        <v>65</v>
      </c>
      <c r="B24" s="12" t="s">
        <v>114</v>
      </c>
      <c r="C24" s="12" t="s">
        <v>115</v>
      </c>
      <c r="D24" s="61" t="s">
        <v>116</v>
      </c>
      <c r="F24" s="12" t="s">
        <v>9</v>
      </c>
      <c r="G24" s="62">
        <v>550.0</v>
      </c>
      <c r="H24" s="62">
        <v>40.0</v>
      </c>
      <c r="I24" s="62">
        <v>11.0</v>
      </c>
      <c r="J24" s="62">
        <v>1.0</v>
      </c>
      <c r="K24" s="62">
        <v>30.0</v>
      </c>
      <c r="M24" s="62">
        <v>0.0</v>
      </c>
      <c r="N24" s="12" t="s">
        <v>80</v>
      </c>
      <c r="O24" s="12" t="s">
        <v>76</v>
      </c>
      <c r="P24" s="62">
        <v>0.1</v>
      </c>
      <c r="Q24" s="62">
        <v>0.05</v>
      </c>
      <c r="R24" s="62">
        <v>0.0</v>
      </c>
      <c r="S24" s="62">
        <v>0.0</v>
      </c>
      <c r="T24" s="63">
        <v>1345.0</v>
      </c>
      <c r="U24" s="62">
        <v>134.0341218396829</v>
      </c>
      <c r="V24" s="62">
        <v>73.7187670118256</v>
      </c>
      <c r="W24" s="62">
        <v>1550.0</v>
      </c>
      <c r="X24" s="62">
        <v>1480.0</v>
      </c>
      <c r="Y24" s="62">
        <v>0.1</v>
      </c>
      <c r="Z24" s="62">
        <v>1350.0</v>
      </c>
      <c r="AA24" s="62">
        <v>0.3</v>
      </c>
      <c r="AB24" s="62">
        <v>405.0</v>
      </c>
      <c r="AC24" s="62">
        <v>470.0</v>
      </c>
      <c r="AD24" s="62">
        <v>950.0</v>
      </c>
      <c r="AE24" s="62">
        <v>1045.0</v>
      </c>
      <c r="AF24" s="62">
        <v>1095.0</v>
      </c>
    </row>
    <row r="25" ht="15.75" customHeight="1">
      <c r="A25" s="12" t="s">
        <v>65</v>
      </c>
      <c r="B25" s="12" t="s">
        <v>114</v>
      </c>
      <c r="C25" s="12" t="s">
        <v>115</v>
      </c>
      <c r="D25" s="61" t="s">
        <v>117</v>
      </c>
      <c r="F25" s="12" t="s">
        <v>79</v>
      </c>
      <c r="G25" s="62">
        <v>830.0</v>
      </c>
      <c r="H25" s="62">
        <v>20.0</v>
      </c>
      <c r="I25" s="62">
        <v>9.0</v>
      </c>
      <c r="J25" s="62">
        <v>1.0</v>
      </c>
      <c r="K25" s="62">
        <v>60.0</v>
      </c>
      <c r="M25" s="62">
        <v>0.0</v>
      </c>
      <c r="N25" s="12" t="s">
        <v>80</v>
      </c>
      <c r="O25" s="12" t="s">
        <v>76</v>
      </c>
      <c r="P25" s="62">
        <v>0.1</v>
      </c>
      <c r="Q25" s="62">
        <v>0.05</v>
      </c>
      <c r="R25" s="62">
        <v>0.0</v>
      </c>
      <c r="S25" s="62">
        <v>0.0</v>
      </c>
      <c r="T25" s="63">
        <v>1020.0</v>
      </c>
      <c r="U25" s="62">
        <v>101.92901078722025</v>
      </c>
      <c r="V25" s="62">
        <v>56.06095593297114</v>
      </c>
      <c r="W25" s="62">
        <v>1180.0</v>
      </c>
      <c r="X25" s="62">
        <v>1125.0</v>
      </c>
      <c r="Y25" s="62">
        <v>0.1</v>
      </c>
      <c r="Z25" s="62">
        <v>1025.0</v>
      </c>
      <c r="AA25" s="62">
        <v>0.3</v>
      </c>
      <c r="AB25" s="62">
        <v>310.0</v>
      </c>
      <c r="AC25" s="62">
        <v>360.0</v>
      </c>
      <c r="AD25" s="62">
        <v>720.0</v>
      </c>
      <c r="AE25" s="62">
        <v>795.0</v>
      </c>
      <c r="AF25" s="62">
        <v>835.0</v>
      </c>
    </row>
    <row r="26" ht="15.75" customHeight="1">
      <c r="A26" s="12" t="s">
        <v>65</v>
      </c>
      <c r="B26" s="12" t="s">
        <v>114</v>
      </c>
      <c r="C26" s="12" t="s">
        <v>115</v>
      </c>
      <c r="D26" s="61" t="s">
        <v>118</v>
      </c>
      <c r="F26" s="12" t="s">
        <v>9</v>
      </c>
      <c r="G26" s="62">
        <v>600.0</v>
      </c>
      <c r="H26" s="62">
        <v>40.0</v>
      </c>
      <c r="I26" s="62">
        <v>11.0</v>
      </c>
      <c r="J26" s="62">
        <v>1.0</v>
      </c>
      <c r="K26" s="62">
        <v>30.0</v>
      </c>
      <c r="M26" s="62">
        <v>0.0</v>
      </c>
      <c r="N26" s="12" t="s">
        <v>80</v>
      </c>
      <c r="O26" s="12" t="s">
        <v>76</v>
      </c>
      <c r="P26" s="62">
        <v>0.1</v>
      </c>
      <c r="Q26" s="62">
        <v>0.05</v>
      </c>
      <c r="R26" s="62">
        <v>0.0</v>
      </c>
      <c r="S26" s="62">
        <v>0.0</v>
      </c>
      <c r="T26" s="63">
        <v>1400.0</v>
      </c>
      <c r="U26" s="62">
        <v>139.87891081793174</v>
      </c>
      <c r="V26" s="62">
        <v>76.93340094986246</v>
      </c>
      <c r="W26" s="62">
        <v>1620.0</v>
      </c>
      <c r="X26" s="62">
        <v>1540.0</v>
      </c>
      <c r="Y26" s="62">
        <v>0.1</v>
      </c>
      <c r="Z26" s="62">
        <v>1400.0</v>
      </c>
      <c r="AA26" s="62">
        <v>0.3</v>
      </c>
      <c r="AB26" s="62">
        <v>420.0</v>
      </c>
      <c r="AC26" s="62">
        <v>490.0</v>
      </c>
      <c r="AD26" s="62">
        <v>980.0</v>
      </c>
      <c r="AE26" s="62">
        <v>1080.0</v>
      </c>
      <c r="AF26" s="62">
        <v>1135.0</v>
      </c>
    </row>
    <row r="27" ht="15.75" customHeight="1">
      <c r="A27" s="12" t="s">
        <v>65</v>
      </c>
      <c r="B27" s="12" t="s">
        <v>114</v>
      </c>
      <c r="C27" s="12" t="s">
        <v>119</v>
      </c>
      <c r="D27" s="61" t="s">
        <v>120</v>
      </c>
      <c r="F27" s="12" t="s">
        <v>9</v>
      </c>
      <c r="G27" s="62">
        <v>250.0</v>
      </c>
      <c r="I27" s="62">
        <v>9.0</v>
      </c>
      <c r="K27" s="62">
        <v>0.0</v>
      </c>
      <c r="M27" s="62">
        <v>0.0</v>
      </c>
      <c r="N27" s="12" t="s">
        <v>70</v>
      </c>
      <c r="O27" s="12" t="s">
        <v>22</v>
      </c>
      <c r="P27" s="62">
        <v>0.1</v>
      </c>
      <c r="Q27" s="62">
        <v>0.05</v>
      </c>
      <c r="R27" s="62">
        <v>0.0</v>
      </c>
      <c r="S27" s="62">
        <v>0.0</v>
      </c>
      <c r="T27" s="63">
        <v>500.0</v>
      </c>
      <c r="U27" s="62">
        <v>49.672542806015876</v>
      </c>
      <c r="V27" s="62">
        <v>27.319898543308728</v>
      </c>
      <c r="W27" s="62">
        <v>575.0</v>
      </c>
      <c r="X27" s="62">
        <v>550.0</v>
      </c>
      <c r="Y27" s="62">
        <v>0.1</v>
      </c>
      <c r="Z27" s="62">
        <v>500.0</v>
      </c>
      <c r="AA27" s="62">
        <v>0.3</v>
      </c>
      <c r="AB27" s="62">
        <v>150.0</v>
      </c>
      <c r="AC27" s="62">
        <v>175.0</v>
      </c>
      <c r="AD27" s="62">
        <v>350.0</v>
      </c>
      <c r="AE27" s="62">
        <v>385.0</v>
      </c>
      <c r="AF27" s="62">
        <v>405.0</v>
      </c>
    </row>
    <row r="28" ht="15.75" customHeight="1">
      <c r="A28" s="12" t="s">
        <v>65</v>
      </c>
      <c r="B28" s="12" t="s">
        <v>114</v>
      </c>
      <c r="C28" s="12" t="s">
        <v>121</v>
      </c>
      <c r="D28" s="61" t="s">
        <v>122</v>
      </c>
      <c r="F28" s="12" t="s">
        <v>79</v>
      </c>
      <c r="G28" s="62">
        <v>500.0</v>
      </c>
      <c r="H28" s="62">
        <v>85.0</v>
      </c>
      <c r="I28" s="62">
        <v>8.0</v>
      </c>
      <c r="J28" s="62">
        <v>2.0</v>
      </c>
      <c r="K28" s="62">
        <v>0.0</v>
      </c>
      <c r="M28" s="62">
        <v>0.0</v>
      </c>
      <c r="N28" s="12" t="s">
        <v>80</v>
      </c>
      <c r="O28" s="12" t="s">
        <v>22</v>
      </c>
      <c r="P28" s="62">
        <v>0.1</v>
      </c>
      <c r="Q28" s="62">
        <v>0.05</v>
      </c>
      <c r="R28" s="62">
        <v>0.0</v>
      </c>
      <c r="S28" s="62">
        <v>0.0</v>
      </c>
      <c r="T28" s="63">
        <v>660.0</v>
      </c>
      <c r="U28" s="62">
        <v>65.57950231030196</v>
      </c>
      <c r="V28" s="62">
        <v>36.06872627066608</v>
      </c>
      <c r="W28" s="62">
        <v>760.0</v>
      </c>
      <c r="X28" s="62">
        <v>730.0</v>
      </c>
      <c r="Y28" s="62">
        <v>0.1</v>
      </c>
      <c r="Z28" s="62">
        <v>665.0</v>
      </c>
      <c r="AA28" s="62">
        <v>0.3</v>
      </c>
      <c r="AB28" s="62">
        <v>200.0</v>
      </c>
      <c r="AC28" s="62">
        <v>235.0</v>
      </c>
      <c r="AD28" s="62">
        <v>470.0</v>
      </c>
      <c r="AE28" s="62">
        <v>515.0</v>
      </c>
      <c r="AF28" s="62">
        <v>540.0</v>
      </c>
    </row>
    <row r="29" ht="15.75" customHeight="1">
      <c r="A29" s="12" t="s">
        <v>65</v>
      </c>
      <c r="B29" s="12" t="s">
        <v>123</v>
      </c>
      <c r="C29" s="12" t="s">
        <v>124</v>
      </c>
      <c r="D29" s="61" t="s">
        <v>125</v>
      </c>
      <c r="F29" s="12" t="s">
        <v>79</v>
      </c>
      <c r="G29" s="62">
        <v>415.0</v>
      </c>
      <c r="I29" s="62">
        <v>6.0</v>
      </c>
      <c r="K29" s="62">
        <v>15.0</v>
      </c>
      <c r="M29" s="62">
        <v>0.0</v>
      </c>
      <c r="N29" s="12" t="s">
        <v>80</v>
      </c>
      <c r="O29" s="12" t="s">
        <v>22</v>
      </c>
      <c r="P29" s="62">
        <v>0.1</v>
      </c>
      <c r="Q29" s="62">
        <v>0.05</v>
      </c>
      <c r="R29" s="62">
        <v>0.0</v>
      </c>
      <c r="S29" s="62">
        <v>0.0</v>
      </c>
      <c r="T29" s="63">
        <v>475.0</v>
      </c>
      <c r="U29" s="62">
        <v>47.30252322963709</v>
      </c>
      <c r="V29" s="62">
        <v>26.0163877763004</v>
      </c>
      <c r="W29" s="62">
        <v>550.0</v>
      </c>
      <c r="X29" s="62">
        <v>525.0</v>
      </c>
      <c r="Y29" s="62">
        <v>0.1</v>
      </c>
      <c r="Z29" s="62">
        <v>480.0</v>
      </c>
      <c r="AA29" s="62">
        <v>0.3</v>
      </c>
      <c r="AB29" s="62">
        <v>145.0</v>
      </c>
      <c r="AC29" s="62">
        <v>170.0</v>
      </c>
      <c r="AD29" s="62">
        <v>340.0</v>
      </c>
      <c r="AE29" s="62">
        <v>375.0</v>
      </c>
      <c r="AF29" s="62">
        <v>390.0</v>
      </c>
    </row>
    <row r="30" ht="15.75" customHeight="1">
      <c r="A30" s="12" t="s">
        <v>65</v>
      </c>
      <c r="B30" s="12" t="s">
        <v>123</v>
      </c>
      <c r="C30" s="12" t="s">
        <v>124</v>
      </c>
      <c r="D30" s="61" t="s">
        <v>126</v>
      </c>
      <c r="F30" s="12" t="s">
        <v>79</v>
      </c>
      <c r="G30" s="62">
        <v>250.0</v>
      </c>
      <c r="I30" s="62">
        <v>3.0</v>
      </c>
      <c r="K30" s="62">
        <v>10.0</v>
      </c>
      <c r="M30" s="62">
        <v>0.0</v>
      </c>
      <c r="N30" s="12" t="s">
        <v>80</v>
      </c>
      <c r="O30" s="12" t="s">
        <v>22</v>
      </c>
      <c r="P30" s="62">
        <v>0.1</v>
      </c>
      <c r="Q30" s="62">
        <v>0.05</v>
      </c>
      <c r="R30" s="62">
        <v>0.0</v>
      </c>
      <c r="S30" s="62">
        <v>0.0</v>
      </c>
      <c r="T30" s="63">
        <v>270.0</v>
      </c>
      <c r="U30" s="62">
        <v>26.925081857017332</v>
      </c>
      <c r="V30" s="62">
        <v>14.808795021359533</v>
      </c>
      <c r="W30" s="62">
        <v>315.0</v>
      </c>
      <c r="X30" s="62">
        <v>300.0</v>
      </c>
      <c r="Y30" s="62">
        <v>0.1</v>
      </c>
      <c r="Z30" s="62">
        <v>275.0</v>
      </c>
      <c r="AA30" s="62">
        <v>0.3</v>
      </c>
      <c r="AB30" s="62">
        <v>85.0</v>
      </c>
      <c r="AC30" s="62">
        <v>100.0</v>
      </c>
      <c r="AD30" s="62">
        <v>195.0</v>
      </c>
      <c r="AE30" s="62">
        <v>215.0</v>
      </c>
      <c r="AF30" s="62">
        <v>225.0</v>
      </c>
    </row>
    <row r="31" ht="15.75" customHeight="1">
      <c r="A31" s="12" t="s">
        <v>65</v>
      </c>
      <c r="B31" s="12" t="s">
        <v>123</v>
      </c>
      <c r="C31" s="12" t="s">
        <v>127</v>
      </c>
      <c r="D31" s="61" t="s">
        <v>128</v>
      </c>
      <c r="F31" s="12" t="s">
        <v>69</v>
      </c>
      <c r="G31" s="62">
        <v>550.0</v>
      </c>
      <c r="I31" s="62">
        <v>2.0</v>
      </c>
      <c r="K31" s="62">
        <v>50.0</v>
      </c>
      <c r="M31" s="62">
        <v>0.0</v>
      </c>
      <c r="N31" s="12" t="s">
        <v>20</v>
      </c>
      <c r="O31" s="12" t="s">
        <v>22</v>
      </c>
      <c r="P31" s="62">
        <v>0.1</v>
      </c>
      <c r="Q31" s="62">
        <v>0.05</v>
      </c>
      <c r="R31" s="62">
        <v>0.0</v>
      </c>
      <c r="S31" s="62">
        <v>0.0</v>
      </c>
      <c r="T31" s="63">
        <v>505.0</v>
      </c>
      <c r="U31" s="62">
        <v>50.04877082923227</v>
      </c>
      <c r="V31" s="62">
        <v>27.52682395607775</v>
      </c>
      <c r="W31" s="62">
        <v>580.0</v>
      </c>
      <c r="X31" s="62">
        <v>560.0</v>
      </c>
      <c r="Y31" s="62">
        <v>0.1</v>
      </c>
      <c r="Z31" s="62">
        <v>510.0</v>
      </c>
      <c r="AA31" s="62">
        <v>0.3</v>
      </c>
      <c r="AB31" s="62">
        <v>155.0</v>
      </c>
      <c r="AC31" s="62">
        <v>180.0</v>
      </c>
      <c r="AD31" s="62">
        <v>360.0</v>
      </c>
      <c r="AE31" s="62">
        <v>395.0</v>
      </c>
      <c r="AF31" s="62">
        <v>415.0</v>
      </c>
    </row>
    <row r="32" ht="15.75" customHeight="1">
      <c r="A32" s="12" t="s">
        <v>65</v>
      </c>
      <c r="B32" s="12" t="s">
        <v>123</v>
      </c>
      <c r="C32" s="12" t="s">
        <v>129</v>
      </c>
      <c r="D32" s="61" t="s">
        <v>130</v>
      </c>
      <c r="F32" s="12" t="s">
        <v>69</v>
      </c>
      <c r="G32" s="62">
        <v>300.0</v>
      </c>
      <c r="H32" s="62">
        <v>140.0</v>
      </c>
      <c r="I32" s="62">
        <v>10.0</v>
      </c>
      <c r="J32" s="62">
        <v>2.0</v>
      </c>
      <c r="K32" s="62">
        <v>0.0</v>
      </c>
      <c r="M32" s="62">
        <v>0.0</v>
      </c>
      <c r="N32" s="12" t="s">
        <v>70</v>
      </c>
      <c r="O32" s="12" t="s">
        <v>76</v>
      </c>
      <c r="P32" s="62">
        <v>0.1</v>
      </c>
      <c r="Q32" s="62">
        <v>0.05</v>
      </c>
      <c r="R32" s="62">
        <v>0.0</v>
      </c>
      <c r="S32" s="62">
        <v>0.0</v>
      </c>
      <c r="T32" s="63">
        <v>900.0</v>
      </c>
      <c r="U32" s="62">
        <v>89.58869500477296</v>
      </c>
      <c r="V32" s="62">
        <v>49.273782252625125</v>
      </c>
      <c r="W32" s="62">
        <v>1035.0</v>
      </c>
      <c r="X32" s="62">
        <v>990.0</v>
      </c>
      <c r="Y32" s="62">
        <v>0.1</v>
      </c>
      <c r="Z32" s="62">
        <v>900.0</v>
      </c>
      <c r="AA32" s="62">
        <v>0.3</v>
      </c>
      <c r="AB32" s="62">
        <v>270.0</v>
      </c>
      <c r="AC32" s="62">
        <v>315.0</v>
      </c>
      <c r="AD32" s="62">
        <v>630.0</v>
      </c>
      <c r="AE32" s="62">
        <v>695.0</v>
      </c>
      <c r="AF32" s="62">
        <v>730.0</v>
      </c>
    </row>
    <row r="33" ht="15.75" customHeight="1">
      <c r="A33" s="12" t="s">
        <v>65</v>
      </c>
      <c r="B33" s="12" t="s">
        <v>123</v>
      </c>
      <c r="C33" s="12" t="s">
        <v>131</v>
      </c>
      <c r="D33" s="61" t="s">
        <v>132</v>
      </c>
      <c r="F33" s="12" t="s">
        <v>92</v>
      </c>
      <c r="G33" s="62">
        <v>100.0</v>
      </c>
      <c r="I33" s="62">
        <v>4.0</v>
      </c>
      <c r="K33" s="62">
        <v>0.0</v>
      </c>
      <c r="M33" s="62">
        <v>0.0</v>
      </c>
      <c r="N33" s="12" t="s">
        <v>20</v>
      </c>
      <c r="O33" s="12" t="s">
        <v>71</v>
      </c>
      <c r="P33" s="62">
        <v>0.1</v>
      </c>
      <c r="Q33" s="62">
        <v>0.05</v>
      </c>
      <c r="R33" s="62">
        <v>0.0</v>
      </c>
      <c r="S33" s="62">
        <v>0.0</v>
      </c>
      <c r="T33" s="63">
        <v>255.0</v>
      </c>
      <c r="U33" s="62">
        <v>25.04376358226125</v>
      </c>
      <c r="V33" s="62">
        <v>13.774069970243687</v>
      </c>
      <c r="W33" s="62">
        <v>290.0</v>
      </c>
      <c r="X33" s="62">
        <v>285.0</v>
      </c>
      <c r="Y33" s="62">
        <v>0.1</v>
      </c>
      <c r="Z33" s="62">
        <v>260.0</v>
      </c>
      <c r="AA33" s="62">
        <v>0.3</v>
      </c>
      <c r="AB33" s="62">
        <v>80.0</v>
      </c>
      <c r="AC33" s="62">
        <v>95.0</v>
      </c>
      <c r="AD33" s="62">
        <v>185.0</v>
      </c>
      <c r="AE33" s="62">
        <v>205.0</v>
      </c>
      <c r="AF33" s="62">
        <v>215.0</v>
      </c>
    </row>
    <row r="34" ht="15.75" customHeight="1">
      <c r="A34" s="12" t="s">
        <v>65</v>
      </c>
      <c r="B34" s="12" t="s">
        <v>133</v>
      </c>
      <c r="C34" s="12" t="s">
        <v>134</v>
      </c>
      <c r="D34" s="61" t="s">
        <v>135</v>
      </c>
      <c r="F34" s="12" t="s">
        <v>79</v>
      </c>
      <c r="G34" s="62">
        <v>150.0</v>
      </c>
      <c r="I34" s="62">
        <v>3.0</v>
      </c>
      <c r="K34" s="62">
        <v>0.0</v>
      </c>
      <c r="M34" s="62">
        <v>0.0</v>
      </c>
      <c r="N34" s="12" t="s">
        <v>70</v>
      </c>
      <c r="O34" s="12" t="s">
        <v>22</v>
      </c>
      <c r="P34" s="62">
        <v>0.1</v>
      </c>
      <c r="Q34" s="62">
        <v>0.05</v>
      </c>
      <c r="R34" s="62">
        <v>0.0</v>
      </c>
      <c r="S34" s="62">
        <v>0.0</v>
      </c>
      <c r="T34" s="63">
        <v>180.0</v>
      </c>
      <c r="U34" s="62">
        <v>17.9625086416544</v>
      </c>
      <c r="V34" s="62">
        <v>9.87937975290992</v>
      </c>
      <c r="W34" s="62">
        <v>210.0</v>
      </c>
      <c r="X34" s="62">
        <v>200.0</v>
      </c>
      <c r="Y34" s="62">
        <v>0.1</v>
      </c>
      <c r="Z34" s="62">
        <v>185.0</v>
      </c>
      <c r="AA34" s="62">
        <v>0.3</v>
      </c>
      <c r="AB34" s="62">
        <v>60.0</v>
      </c>
      <c r="AC34" s="62">
        <v>70.0</v>
      </c>
      <c r="AD34" s="62">
        <v>135.0</v>
      </c>
      <c r="AE34" s="62">
        <v>145.0</v>
      </c>
      <c r="AF34" s="62">
        <v>155.0</v>
      </c>
    </row>
    <row r="35" ht="15.75" customHeight="1">
      <c r="A35" s="12" t="s">
        <v>65</v>
      </c>
      <c r="B35" s="12" t="s">
        <v>133</v>
      </c>
      <c r="C35" s="12" t="s">
        <v>67</v>
      </c>
      <c r="D35" s="61" t="s">
        <v>136</v>
      </c>
      <c r="F35" s="12" t="s">
        <v>69</v>
      </c>
      <c r="G35" s="62">
        <v>750.0</v>
      </c>
      <c r="H35" s="62">
        <v>75.0</v>
      </c>
      <c r="I35" s="62">
        <v>16.0</v>
      </c>
      <c r="J35" s="62">
        <v>2.0</v>
      </c>
      <c r="K35" s="62">
        <v>30.0</v>
      </c>
      <c r="M35" s="62">
        <v>0.0</v>
      </c>
      <c r="N35" s="12" t="s">
        <v>20</v>
      </c>
      <c r="O35" s="12" t="s">
        <v>71</v>
      </c>
      <c r="P35" s="62">
        <v>0.1</v>
      </c>
      <c r="Q35" s="62">
        <v>0.05</v>
      </c>
      <c r="R35" s="62">
        <v>0.0</v>
      </c>
      <c r="S35" s="62">
        <v>0.0</v>
      </c>
      <c r="T35" s="63">
        <v>1120.0</v>
      </c>
      <c r="U35" s="62">
        <v>111.68068434090772</v>
      </c>
      <c r="V35" s="62">
        <v>61.424376387499244</v>
      </c>
      <c r="W35" s="62">
        <v>1290.0</v>
      </c>
      <c r="X35" s="62">
        <v>1230.0</v>
      </c>
      <c r="Y35" s="62">
        <v>0.1</v>
      </c>
      <c r="Z35" s="62">
        <v>1120.0</v>
      </c>
      <c r="AA35" s="62">
        <v>0.3</v>
      </c>
      <c r="AB35" s="62">
        <v>340.0</v>
      </c>
      <c r="AC35" s="62">
        <v>395.0</v>
      </c>
      <c r="AD35" s="62">
        <v>785.0</v>
      </c>
      <c r="AE35" s="62">
        <v>865.0</v>
      </c>
      <c r="AF35" s="62">
        <v>910.0</v>
      </c>
    </row>
    <row r="36" ht="15.75" customHeight="1">
      <c r="A36" s="12" t="s">
        <v>65</v>
      </c>
      <c r="B36" s="12" t="s">
        <v>137</v>
      </c>
      <c r="C36" s="12" t="s">
        <v>138</v>
      </c>
      <c r="D36" s="61" t="s">
        <v>139</v>
      </c>
      <c r="F36" s="12" t="s">
        <v>92</v>
      </c>
      <c r="G36" s="62">
        <v>150.0</v>
      </c>
      <c r="I36" s="62">
        <v>5.0</v>
      </c>
      <c r="K36" s="62">
        <v>0.0</v>
      </c>
      <c r="M36" s="62">
        <v>0.0</v>
      </c>
      <c r="N36" s="12" t="s">
        <v>80</v>
      </c>
      <c r="O36" s="12" t="s">
        <v>22</v>
      </c>
      <c r="P36" s="62">
        <v>0.1</v>
      </c>
      <c r="Q36" s="62">
        <v>0.05</v>
      </c>
      <c r="R36" s="62">
        <v>0.0</v>
      </c>
      <c r="S36" s="62">
        <v>0.0</v>
      </c>
      <c r="T36" s="63">
        <v>325.0</v>
      </c>
      <c r="U36" s="62">
        <v>32.270682967591505</v>
      </c>
      <c r="V36" s="62">
        <v>17.748875632175327</v>
      </c>
      <c r="W36" s="62">
        <v>375.0</v>
      </c>
      <c r="X36" s="62">
        <v>360.0</v>
      </c>
      <c r="Y36" s="62">
        <v>0.1</v>
      </c>
      <c r="Z36" s="62">
        <v>330.0</v>
      </c>
      <c r="AA36" s="62">
        <v>0.3</v>
      </c>
      <c r="AB36" s="62">
        <v>100.0</v>
      </c>
      <c r="AC36" s="62">
        <v>120.0</v>
      </c>
      <c r="AD36" s="62">
        <v>235.0</v>
      </c>
      <c r="AE36" s="62">
        <v>260.0</v>
      </c>
      <c r="AF36" s="62">
        <v>270.0</v>
      </c>
    </row>
    <row r="37" ht="15.75" customHeight="1">
      <c r="A37" s="12" t="s">
        <v>65</v>
      </c>
      <c r="B37" s="12" t="s">
        <v>137</v>
      </c>
      <c r="C37" s="12" t="s">
        <v>138</v>
      </c>
      <c r="D37" s="61" t="s">
        <v>140</v>
      </c>
      <c r="F37" s="12" t="s">
        <v>9</v>
      </c>
      <c r="G37" s="62">
        <v>250.0</v>
      </c>
      <c r="I37" s="62">
        <v>9.0</v>
      </c>
      <c r="K37" s="62">
        <v>0.0</v>
      </c>
      <c r="M37" s="62">
        <v>0.0</v>
      </c>
      <c r="N37" s="12" t="s">
        <v>80</v>
      </c>
      <c r="O37" s="12" t="s">
        <v>22</v>
      </c>
      <c r="P37" s="62">
        <v>0.1</v>
      </c>
      <c r="Q37" s="62">
        <v>0.05</v>
      </c>
      <c r="R37" s="62">
        <v>0.0</v>
      </c>
      <c r="S37" s="62">
        <v>0.0</v>
      </c>
      <c r="T37" s="63">
        <v>545.0</v>
      </c>
      <c r="U37" s="62">
        <v>54.29722782588631</v>
      </c>
      <c r="V37" s="62">
        <v>29.863475304237472</v>
      </c>
      <c r="W37" s="62">
        <v>630.0</v>
      </c>
      <c r="X37" s="62">
        <v>600.0</v>
      </c>
      <c r="Y37" s="62">
        <v>0.1</v>
      </c>
      <c r="Z37" s="62">
        <v>550.0</v>
      </c>
      <c r="AA37" s="62">
        <v>0.3</v>
      </c>
      <c r="AB37" s="62">
        <v>165.0</v>
      </c>
      <c r="AC37" s="62">
        <v>195.0</v>
      </c>
      <c r="AD37" s="62">
        <v>390.0</v>
      </c>
      <c r="AE37" s="62">
        <v>430.0</v>
      </c>
      <c r="AF37" s="62">
        <v>450.0</v>
      </c>
    </row>
    <row r="38" ht="15.75" customHeight="1">
      <c r="A38" s="12" t="s">
        <v>65</v>
      </c>
      <c r="B38" s="12" t="s">
        <v>137</v>
      </c>
      <c r="C38" s="12" t="s">
        <v>141</v>
      </c>
      <c r="D38" s="61" t="s">
        <v>142</v>
      </c>
      <c r="F38" s="12" t="s">
        <v>69</v>
      </c>
      <c r="G38" s="62">
        <v>250.0</v>
      </c>
      <c r="H38" s="62">
        <v>140.0</v>
      </c>
      <c r="I38" s="62">
        <v>9.0</v>
      </c>
      <c r="J38" s="62">
        <v>2.0</v>
      </c>
      <c r="K38" s="62">
        <v>0.0</v>
      </c>
      <c r="M38" s="62">
        <v>0.0</v>
      </c>
      <c r="N38" s="12" t="s">
        <v>70</v>
      </c>
      <c r="O38" s="12" t="s">
        <v>71</v>
      </c>
      <c r="P38" s="62">
        <v>0.1</v>
      </c>
      <c r="Q38" s="62">
        <v>0.05</v>
      </c>
      <c r="R38" s="62">
        <v>0.0</v>
      </c>
      <c r="S38" s="62">
        <v>0.0</v>
      </c>
      <c r="T38" s="63">
        <v>680.0</v>
      </c>
      <c r="U38" s="62">
        <v>67.97035961371822</v>
      </c>
      <c r="V38" s="62">
        <v>37.38369778754502</v>
      </c>
      <c r="W38" s="62">
        <v>790.0</v>
      </c>
      <c r="X38" s="62">
        <v>750.0</v>
      </c>
      <c r="Y38" s="62">
        <v>0.1</v>
      </c>
      <c r="Z38" s="62">
        <v>685.0</v>
      </c>
      <c r="AA38" s="62">
        <v>0.3</v>
      </c>
      <c r="AB38" s="62">
        <v>210.0</v>
      </c>
      <c r="AC38" s="62">
        <v>245.0</v>
      </c>
      <c r="AD38" s="62">
        <v>485.0</v>
      </c>
      <c r="AE38" s="62">
        <v>530.0</v>
      </c>
      <c r="AF38" s="62">
        <v>560.0</v>
      </c>
    </row>
    <row r="39" ht="15.75" customHeight="1">
      <c r="A39" s="12" t="s">
        <v>65</v>
      </c>
      <c r="B39" s="12" t="s">
        <v>137</v>
      </c>
      <c r="C39" s="12" t="s">
        <v>141</v>
      </c>
      <c r="D39" s="61" t="s">
        <v>143</v>
      </c>
      <c r="F39" s="12" t="s">
        <v>69</v>
      </c>
      <c r="G39" s="62">
        <v>250.0</v>
      </c>
      <c r="H39" s="62">
        <v>140.0</v>
      </c>
      <c r="I39" s="62">
        <v>10.0</v>
      </c>
      <c r="J39" s="62">
        <v>2.0</v>
      </c>
      <c r="K39" s="62">
        <v>0.0</v>
      </c>
      <c r="M39" s="62">
        <v>0.0</v>
      </c>
      <c r="N39" s="12" t="s">
        <v>70</v>
      </c>
      <c r="O39" s="12" t="s">
        <v>71</v>
      </c>
      <c r="P39" s="62">
        <v>0.1</v>
      </c>
      <c r="Q39" s="62">
        <v>0.05</v>
      </c>
      <c r="R39" s="62">
        <v>0.0</v>
      </c>
      <c r="S39" s="62">
        <v>0.0</v>
      </c>
      <c r="T39" s="63">
        <v>720.0</v>
      </c>
      <c r="U39" s="62">
        <v>71.9763580415856</v>
      </c>
      <c r="V39" s="62">
        <v>39.58699692287208</v>
      </c>
      <c r="W39" s="62">
        <v>835.0</v>
      </c>
      <c r="X39" s="62">
        <v>795.0</v>
      </c>
      <c r="Y39" s="62">
        <v>0.1</v>
      </c>
      <c r="Z39" s="62">
        <v>725.0</v>
      </c>
      <c r="AA39" s="62">
        <v>0.3</v>
      </c>
      <c r="AB39" s="62">
        <v>220.0</v>
      </c>
      <c r="AC39" s="62">
        <v>255.0</v>
      </c>
      <c r="AD39" s="62">
        <v>510.0</v>
      </c>
      <c r="AE39" s="62">
        <v>560.0</v>
      </c>
      <c r="AF39" s="62">
        <v>590.0</v>
      </c>
    </row>
    <row r="40" ht="15.75" customHeight="1">
      <c r="A40" s="12" t="s">
        <v>65</v>
      </c>
      <c r="B40" s="12" t="s">
        <v>137</v>
      </c>
      <c r="C40" s="12" t="s">
        <v>141</v>
      </c>
      <c r="D40" s="61" t="s">
        <v>144</v>
      </c>
      <c r="F40" s="12" t="s">
        <v>69</v>
      </c>
      <c r="G40" s="62">
        <v>300.0</v>
      </c>
      <c r="H40" s="62">
        <v>140.0</v>
      </c>
      <c r="I40" s="62">
        <v>10.0</v>
      </c>
      <c r="J40" s="62">
        <v>2.0</v>
      </c>
      <c r="K40" s="62">
        <v>0.0</v>
      </c>
      <c r="M40" s="62">
        <v>0.0</v>
      </c>
      <c r="N40" s="12" t="s">
        <v>70</v>
      </c>
      <c r="O40" s="12" t="s">
        <v>71</v>
      </c>
      <c r="P40" s="62">
        <v>0.1</v>
      </c>
      <c r="Q40" s="62">
        <v>0.05</v>
      </c>
      <c r="R40" s="62">
        <v>0.0</v>
      </c>
      <c r="S40" s="62">
        <v>0.0</v>
      </c>
      <c r="T40" s="63">
        <v>765.0</v>
      </c>
      <c r="U40" s="62">
        <v>76.24592483057447</v>
      </c>
      <c r="V40" s="62">
        <v>41.93525865681596</v>
      </c>
      <c r="W40" s="62">
        <v>885.0</v>
      </c>
      <c r="X40" s="62">
        <v>845.0</v>
      </c>
      <c r="Y40" s="62">
        <v>0.1</v>
      </c>
      <c r="Z40" s="62">
        <v>770.0</v>
      </c>
      <c r="AA40" s="62">
        <v>0.3</v>
      </c>
      <c r="AB40" s="62">
        <v>235.0</v>
      </c>
      <c r="AC40" s="62">
        <v>275.0</v>
      </c>
      <c r="AD40" s="62">
        <v>545.0</v>
      </c>
      <c r="AE40" s="62">
        <v>595.0</v>
      </c>
      <c r="AF40" s="62">
        <v>625.0</v>
      </c>
    </row>
    <row r="41" ht="15.75" customHeight="1">
      <c r="A41" s="12" t="s">
        <v>65</v>
      </c>
      <c r="B41" s="12" t="s">
        <v>145</v>
      </c>
      <c r="C41" s="12" t="s">
        <v>141</v>
      </c>
      <c r="D41" s="61" t="s">
        <v>146</v>
      </c>
      <c r="F41" s="12" t="s">
        <v>69</v>
      </c>
      <c r="G41" s="62">
        <v>350.0</v>
      </c>
      <c r="H41" s="62">
        <v>140.0</v>
      </c>
      <c r="I41" s="62">
        <v>11.0</v>
      </c>
      <c r="J41" s="62">
        <v>2.0</v>
      </c>
      <c r="K41" s="62">
        <v>0.0</v>
      </c>
      <c r="M41" s="62">
        <v>0.0</v>
      </c>
      <c r="N41" s="12" t="s">
        <v>70</v>
      </c>
      <c r="O41" s="12" t="s">
        <v>71</v>
      </c>
      <c r="P41" s="62">
        <v>0.1</v>
      </c>
      <c r="Q41" s="62">
        <v>0.05</v>
      </c>
      <c r="R41" s="62">
        <v>0.0</v>
      </c>
      <c r="S41" s="62">
        <v>0.0</v>
      </c>
      <c r="T41" s="63">
        <v>850.0</v>
      </c>
      <c r="U41" s="62">
        <v>84.62561751540676</v>
      </c>
      <c r="V41" s="62">
        <v>46.54408963347371</v>
      </c>
      <c r="W41" s="62">
        <v>980.0</v>
      </c>
      <c r="X41" s="62">
        <v>935.0</v>
      </c>
      <c r="Y41" s="62">
        <v>0.1</v>
      </c>
      <c r="Z41" s="62">
        <v>850.0</v>
      </c>
      <c r="AA41" s="62">
        <v>0.3</v>
      </c>
      <c r="AB41" s="62">
        <v>255.0</v>
      </c>
      <c r="AC41" s="62">
        <v>295.0</v>
      </c>
      <c r="AD41" s="62">
        <v>595.0</v>
      </c>
      <c r="AE41" s="62">
        <v>655.0</v>
      </c>
      <c r="AF41" s="62">
        <v>690.0</v>
      </c>
    </row>
    <row r="42" ht="15.75" customHeight="1">
      <c r="A42" s="12" t="s">
        <v>65</v>
      </c>
      <c r="B42" s="12" t="s">
        <v>145</v>
      </c>
      <c r="C42" s="12" t="s">
        <v>147</v>
      </c>
      <c r="D42" s="61" t="s">
        <v>148</v>
      </c>
      <c r="F42" s="12" t="s">
        <v>9</v>
      </c>
      <c r="G42" s="62">
        <v>250.0</v>
      </c>
      <c r="H42" s="62">
        <v>140.0</v>
      </c>
      <c r="I42" s="62">
        <v>7.0</v>
      </c>
      <c r="J42" s="62">
        <v>2.0</v>
      </c>
      <c r="K42" s="62">
        <v>0.0</v>
      </c>
      <c r="M42" s="62">
        <v>0.0</v>
      </c>
      <c r="N42" s="12" t="s">
        <v>70</v>
      </c>
      <c r="O42" s="12" t="s">
        <v>71</v>
      </c>
      <c r="P42" s="62">
        <v>0.1</v>
      </c>
      <c r="Q42" s="62">
        <v>0.05</v>
      </c>
      <c r="R42" s="62">
        <v>0.0</v>
      </c>
      <c r="S42" s="62">
        <v>0.0</v>
      </c>
      <c r="T42" s="63">
        <v>600.0</v>
      </c>
      <c r="U42" s="62">
        <v>59.95836275798346</v>
      </c>
      <c r="V42" s="62">
        <v>32.9770995168909</v>
      </c>
      <c r="W42" s="62">
        <v>695.0</v>
      </c>
      <c r="X42" s="62">
        <v>660.0</v>
      </c>
      <c r="Z42" s="62">
        <v>660.0</v>
      </c>
      <c r="AA42" s="62">
        <v>0.3</v>
      </c>
      <c r="AB42" s="62">
        <v>200.0</v>
      </c>
      <c r="AC42" s="62">
        <v>235.0</v>
      </c>
      <c r="AD42" s="62">
        <v>480.0</v>
      </c>
      <c r="AE42" s="62">
        <v>530.0</v>
      </c>
      <c r="AF42" s="62">
        <v>555.0</v>
      </c>
    </row>
    <row r="43" ht="15.75" customHeight="1">
      <c r="A43" s="12" t="s">
        <v>65</v>
      </c>
      <c r="B43" s="12" t="s">
        <v>149</v>
      </c>
      <c r="C43" s="12" t="s">
        <v>150</v>
      </c>
      <c r="D43" s="61" t="s">
        <v>151</v>
      </c>
      <c r="G43" s="62">
        <v>20.0</v>
      </c>
      <c r="H43" s="62">
        <v>40.0</v>
      </c>
      <c r="I43" s="62">
        <v>2.0</v>
      </c>
      <c r="J43" s="62">
        <v>1.0</v>
      </c>
      <c r="K43" s="62">
        <v>0.0</v>
      </c>
      <c r="M43" s="62">
        <v>0.0</v>
      </c>
      <c r="N43" s="12" t="s">
        <v>70</v>
      </c>
      <c r="O43" s="12" t="s">
        <v>76</v>
      </c>
      <c r="P43" s="62">
        <v>0.1</v>
      </c>
      <c r="Q43" s="62">
        <v>0.05</v>
      </c>
      <c r="R43" s="62">
        <v>0.1</v>
      </c>
      <c r="S43" s="62">
        <v>0.0</v>
      </c>
      <c r="T43" s="63">
        <v>285.0</v>
      </c>
      <c r="U43" s="62">
        <v>28.36375570662457</v>
      </c>
      <c r="V43" s="62">
        <v>15.600065638643512</v>
      </c>
      <c r="W43" s="62">
        <v>330.0</v>
      </c>
      <c r="X43" s="62">
        <v>315.0</v>
      </c>
      <c r="Y43" s="62">
        <v>0.1</v>
      </c>
      <c r="Z43" s="62">
        <v>290.0</v>
      </c>
      <c r="AA43" s="62">
        <v>0.3</v>
      </c>
      <c r="AB43" s="62">
        <v>90.0</v>
      </c>
      <c r="AC43" s="62">
        <v>105.0</v>
      </c>
      <c r="AD43" s="62">
        <v>205.0</v>
      </c>
      <c r="AE43" s="62">
        <v>225.0</v>
      </c>
      <c r="AF43" s="62">
        <v>240.0</v>
      </c>
    </row>
    <row r="44" ht="15.75" customHeight="1">
      <c r="A44" s="12" t="s">
        <v>65</v>
      </c>
      <c r="B44" s="12" t="s">
        <v>149</v>
      </c>
      <c r="C44" s="12" t="s">
        <v>150</v>
      </c>
      <c r="D44" s="61" t="s">
        <v>152</v>
      </c>
      <c r="G44" s="62">
        <v>20.0</v>
      </c>
      <c r="H44" s="62">
        <v>40.0</v>
      </c>
      <c r="I44" s="62">
        <v>1.0</v>
      </c>
      <c r="J44" s="62">
        <v>1.0</v>
      </c>
      <c r="K44" s="62">
        <v>0.0</v>
      </c>
      <c r="M44" s="62">
        <v>0.0</v>
      </c>
      <c r="N44" s="12" t="s">
        <v>70</v>
      </c>
      <c r="O44" s="12" t="s">
        <v>76</v>
      </c>
      <c r="P44" s="62">
        <v>0.1</v>
      </c>
      <c r="Q44" s="62">
        <v>0.05</v>
      </c>
      <c r="R44" s="62">
        <v>0.1</v>
      </c>
      <c r="S44" s="62">
        <v>0.0</v>
      </c>
      <c r="T44" s="63">
        <v>195.0</v>
      </c>
      <c r="U44" s="62">
        <v>19.050432137223293</v>
      </c>
      <c r="V44" s="62">
        <v>10.47773767547281</v>
      </c>
      <c r="W44" s="62">
        <v>225.0</v>
      </c>
      <c r="X44" s="62">
        <v>215.0</v>
      </c>
      <c r="Y44" s="62">
        <v>0.1</v>
      </c>
      <c r="Z44" s="62">
        <v>200.0</v>
      </c>
      <c r="AA44" s="62">
        <v>0.3</v>
      </c>
      <c r="AB44" s="62">
        <v>60.0</v>
      </c>
      <c r="AC44" s="62">
        <v>70.0</v>
      </c>
      <c r="AD44" s="62">
        <v>145.0</v>
      </c>
      <c r="AE44" s="62">
        <v>160.0</v>
      </c>
      <c r="AF44" s="62">
        <v>165.0</v>
      </c>
    </row>
    <row r="45" ht="15.75" customHeight="1">
      <c r="A45" s="12" t="s">
        <v>65</v>
      </c>
      <c r="B45" s="12" t="s">
        <v>149</v>
      </c>
      <c r="C45" s="12" t="s">
        <v>150</v>
      </c>
      <c r="D45" s="61" t="s">
        <v>153</v>
      </c>
      <c r="G45" s="62">
        <v>20.0</v>
      </c>
      <c r="H45" s="62">
        <v>40.0</v>
      </c>
      <c r="I45" s="62">
        <v>1.0</v>
      </c>
      <c r="J45" s="62">
        <v>1.0</v>
      </c>
      <c r="K45" s="62">
        <v>0.0</v>
      </c>
      <c r="M45" s="62">
        <v>0.0</v>
      </c>
      <c r="N45" s="12" t="s">
        <v>70</v>
      </c>
      <c r="O45" s="12" t="s">
        <v>76</v>
      </c>
      <c r="P45" s="62">
        <v>0.1</v>
      </c>
      <c r="Q45" s="62">
        <v>0.05</v>
      </c>
      <c r="R45" s="62">
        <v>0.0</v>
      </c>
      <c r="S45" s="62">
        <v>0.0</v>
      </c>
      <c r="T45" s="63">
        <v>175.0</v>
      </c>
      <c r="U45" s="62">
        <v>17.31857467020299</v>
      </c>
      <c r="V45" s="62">
        <v>9.525216068611646</v>
      </c>
      <c r="W45" s="62">
        <v>205.0</v>
      </c>
      <c r="X45" s="62">
        <v>195.0</v>
      </c>
      <c r="Y45" s="62">
        <v>0.1</v>
      </c>
      <c r="Z45" s="62">
        <v>180.0</v>
      </c>
      <c r="AA45" s="62">
        <v>0.3</v>
      </c>
      <c r="AB45" s="62">
        <v>55.0</v>
      </c>
      <c r="AC45" s="62">
        <v>65.0</v>
      </c>
      <c r="AD45" s="62">
        <v>130.0</v>
      </c>
      <c r="AE45" s="62">
        <v>145.0</v>
      </c>
      <c r="AF45" s="62">
        <v>150.0</v>
      </c>
    </row>
    <row r="46" ht="15.75" customHeight="1">
      <c r="A46" s="12" t="s">
        <v>65</v>
      </c>
      <c r="B46" s="12" t="s">
        <v>154</v>
      </c>
      <c r="C46" s="12" t="s">
        <v>147</v>
      </c>
      <c r="D46" s="61" t="s">
        <v>155</v>
      </c>
      <c r="F46" s="12" t="s">
        <v>69</v>
      </c>
      <c r="G46" s="62">
        <v>250.0</v>
      </c>
      <c r="H46" s="62">
        <v>140.0</v>
      </c>
      <c r="I46" s="62">
        <v>9.0</v>
      </c>
      <c r="J46" s="62">
        <v>2.0</v>
      </c>
      <c r="K46" s="62">
        <v>0.0</v>
      </c>
      <c r="M46" s="62">
        <v>0.0</v>
      </c>
      <c r="N46" s="12" t="s">
        <v>70</v>
      </c>
      <c r="O46" s="12" t="s">
        <v>76</v>
      </c>
      <c r="P46" s="62">
        <v>0.1</v>
      </c>
      <c r="Q46" s="62">
        <v>0.05</v>
      </c>
      <c r="R46" s="62">
        <v>0.0</v>
      </c>
      <c r="S46" s="62">
        <v>0.0</v>
      </c>
      <c r="T46" s="63">
        <v>800.0</v>
      </c>
      <c r="U46" s="62">
        <v>79.65801674454548</v>
      </c>
      <c r="V46" s="62">
        <v>43.81190920950001</v>
      </c>
      <c r="W46" s="62">
        <v>925.0</v>
      </c>
      <c r="X46" s="62">
        <v>880.0</v>
      </c>
      <c r="Z46" s="62">
        <v>880.0</v>
      </c>
      <c r="AA46" s="62">
        <v>0.3</v>
      </c>
      <c r="AB46" s="62">
        <v>265.0</v>
      </c>
      <c r="AC46" s="62">
        <v>310.0</v>
      </c>
      <c r="AD46" s="62">
        <v>640.0</v>
      </c>
      <c r="AE46" s="62">
        <v>705.0</v>
      </c>
      <c r="AF46" s="62">
        <v>740.0</v>
      </c>
    </row>
    <row r="47" ht="15.75" customHeight="1">
      <c r="A47" s="12" t="s">
        <v>65</v>
      </c>
      <c r="B47" s="12" t="s">
        <v>154</v>
      </c>
      <c r="C47" s="12" t="s">
        <v>156</v>
      </c>
      <c r="D47" s="61" t="s">
        <v>157</v>
      </c>
      <c r="F47" s="12" t="s">
        <v>79</v>
      </c>
      <c r="G47" s="62">
        <v>150.0</v>
      </c>
      <c r="I47" s="62">
        <v>3.0</v>
      </c>
      <c r="K47" s="62">
        <v>0.0</v>
      </c>
      <c r="M47" s="62">
        <v>0.0</v>
      </c>
      <c r="N47" s="12" t="s">
        <v>20</v>
      </c>
      <c r="O47" s="12" t="s">
        <v>71</v>
      </c>
      <c r="P47" s="62">
        <v>0.1</v>
      </c>
      <c r="Q47" s="62">
        <v>0.05</v>
      </c>
      <c r="R47" s="62">
        <v>0.0</v>
      </c>
      <c r="S47" s="62">
        <v>0.0</v>
      </c>
      <c r="T47" s="63">
        <v>190.0</v>
      </c>
      <c r="U47" s="62">
        <v>18.836951253012828</v>
      </c>
      <c r="V47" s="62">
        <v>10.360323189157056</v>
      </c>
      <c r="W47" s="62">
        <v>220.0</v>
      </c>
      <c r="X47" s="62">
        <v>210.0</v>
      </c>
      <c r="Y47" s="62">
        <v>0.1</v>
      </c>
      <c r="Z47" s="62">
        <v>195.0</v>
      </c>
      <c r="AA47" s="62">
        <v>0.3</v>
      </c>
      <c r="AB47" s="62">
        <v>60.0</v>
      </c>
      <c r="AC47" s="62">
        <v>70.0</v>
      </c>
      <c r="AD47" s="62">
        <v>140.0</v>
      </c>
      <c r="AE47" s="62">
        <v>155.0</v>
      </c>
      <c r="AF47" s="62">
        <v>160.0</v>
      </c>
    </row>
    <row r="48" ht="15.75" customHeight="1">
      <c r="A48" s="12" t="s">
        <v>65</v>
      </c>
      <c r="B48" s="12" t="s">
        <v>154</v>
      </c>
      <c r="C48" s="12" t="s">
        <v>158</v>
      </c>
      <c r="D48" s="61" t="s">
        <v>159</v>
      </c>
      <c r="F48" s="12" t="s">
        <v>9</v>
      </c>
      <c r="G48" s="62">
        <v>250.0</v>
      </c>
      <c r="I48" s="62">
        <v>8.0</v>
      </c>
      <c r="K48" s="62">
        <v>0.0</v>
      </c>
      <c r="M48" s="62">
        <v>0.0</v>
      </c>
      <c r="N48" s="12" t="s">
        <v>70</v>
      </c>
      <c r="O48" s="12" t="s">
        <v>71</v>
      </c>
      <c r="P48" s="62">
        <v>0.1</v>
      </c>
      <c r="Q48" s="62">
        <v>0.05</v>
      </c>
      <c r="R48" s="62">
        <v>0.0</v>
      </c>
      <c r="S48" s="62">
        <v>0.0</v>
      </c>
      <c r="T48" s="63">
        <v>545.0</v>
      </c>
      <c r="U48" s="62">
        <v>54.43228722626895</v>
      </c>
      <c r="V48" s="62">
        <v>29.93775797444792</v>
      </c>
      <c r="W48" s="62">
        <v>630.0</v>
      </c>
      <c r="X48" s="62">
        <v>600.0</v>
      </c>
      <c r="Z48" s="62">
        <v>600.0</v>
      </c>
      <c r="AA48" s="62">
        <v>0.3</v>
      </c>
      <c r="AB48" s="62">
        <v>180.0</v>
      </c>
      <c r="AC48" s="62">
        <v>210.0</v>
      </c>
      <c r="AD48" s="62">
        <v>440.0</v>
      </c>
      <c r="AE48" s="62">
        <v>485.0</v>
      </c>
      <c r="AF48" s="62">
        <v>505.0</v>
      </c>
    </row>
    <row r="49" ht="15.75" customHeight="1">
      <c r="A49" s="12" t="s">
        <v>65</v>
      </c>
      <c r="B49" s="12" t="s">
        <v>160</v>
      </c>
      <c r="C49" s="12" t="s">
        <v>161</v>
      </c>
      <c r="D49" s="61" t="s">
        <v>162</v>
      </c>
      <c r="G49" s="62">
        <v>170.0</v>
      </c>
      <c r="H49" s="62">
        <v>150.0</v>
      </c>
      <c r="I49" s="62">
        <v>6.0</v>
      </c>
      <c r="J49" s="62">
        <v>3.0</v>
      </c>
      <c r="K49" s="62">
        <v>0.0</v>
      </c>
      <c r="M49" s="62">
        <v>0.0</v>
      </c>
      <c r="N49" s="12" t="s">
        <v>70</v>
      </c>
      <c r="O49" s="12" t="s">
        <v>71</v>
      </c>
      <c r="P49" s="62">
        <v>0.1</v>
      </c>
      <c r="Q49" s="62">
        <v>0.05</v>
      </c>
      <c r="R49" s="62">
        <v>0.0</v>
      </c>
      <c r="S49" s="62">
        <v>0.0</v>
      </c>
      <c r="T49" s="63">
        <v>520.0</v>
      </c>
      <c r="U49" s="62">
        <v>51.56735257089174</v>
      </c>
      <c r="V49" s="62">
        <v>28.362043913990462</v>
      </c>
      <c r="W49" s="62">
        <v>600.0</v>
      </c>
      <c r="X49" s="62">
        <v>575.0</v>
      </c>
      <c r="Y49" s="62">
        <v>0.1</v>
      </c>
      <c r="Z49" s="62">
        <v>525.0</v>
      </c>
      <c r="AA49" s="62">
        <v>0.3</v>
      </c>
      <c r="AB49" s="62">
        <v>160.0</v>
      </c>
      <c r="AC49" s="62">
        <v>185.0</v>
      </c>
      <c r="AD49" s="62">
        <v>370.0</v>
      </c>
      <c r="AE49" s="62">
        <v>410.0</v>
      </c>
      <c r="AF49" s="62">
        <v>430.0</v>
      </c>
    </row>
    <row r="50" ht="15.75" customHeight="1">
      <c r="A50" s="12" t="s">
        <v>65</v>
      </c>
      <c r="B50" s="12" t="s">
        <v>160</v>
      </c>
      <c r="C50" s="12" t="s">
        <v>163</v>
      </c>
      <c r="D50" s="61" t="s">
        <v>164</v>
      </c>
      <c r="F50" s="12" t="s">
        <v>9</v>
      </c>
      <c r="G50" s="62">
        <v>250.0</v>
      </c>
      <c r="H50" s="62">
        <v>140.0</v>
      </c>
      <c r="I50" s="62">
        <v>8.0</v>
      </c>
      <c r="J50" s="62">
        <v>2.0</v>
      </c>
      <c r="K50" s="62">
        <v>0.0</v>
      </c>
      <c r="M50" s="62">
        <v>0.0</v>
      </c>
      <c r="N50" s="12" t="s">
        <v>20</v>
      </c>
      <c r="O50" s="12" t="s">
        <v>71</v>
      </c>
      <c r="P50" s="62">
        <v>0.1</v>
      </c>
      <c r="Q50" s="62">
        <v>0.05</v>
      </c>
      <c r="R50" s="62">
        <v>0.0</v>
      </c>
      <c r="S50" s="62">
        <v>0.0</v>
      </c>
      <c r="T50" s="63">
        <v>585.0</v>
      </c>
      <c r="U50" s="62">
        <v>58.05188860782508</v>
      </c>
      <c r="V50" s="62">
        <v>31.92853873430379</v>
      </c>
      <c r="W50" s="62">
        <v>675.0</v>
      </c>
      <c r="X50" s="62">
        <v>645.0</v>
      </c>
      <c r="Y50" s="62">
        <v>0.1</v>
      </c>
      <c r="Z50" s="62">
        <v>590.0</v>
      </c>
      <c r="AA50" s="62">
        <v>0.3</v>
      </c>
      <c r="AB50" s="62">
        <v>180.0</v>
      </c>
      <c r="AC50" s="62">
        <v>210.0</v>
      </c>
      <c r="AD50" s="62">
        <v>415.0</v>
      </c>
      <c r="AE50" s="62">
        <v>460.0</v>
      </c>
      <c r="AF50" s="62">
        <v>480.0</v>
      </c>
    </row>
    <row r="51" ht="15.75" customHeight="1">
      <c r="A51" s="12" t="s">
        <v>65</v>
      </c>
      <c r="B51" s="12" t="s">
        <v>160</v>
      </c>
      <c r="C51" s="12" t="s">
        <v>163</v>
      </c>
      <c r="D51" s="61" t="s">
        <v>165</v>
      </c>
      <c r="F51" s="12" t="s">
        <v>9</v>
      </c>
      <c r="G51" s="62">
        <v>250.0</v>
      </c>
      <c r="H51" s="62">
        <v>140.0</v>
      </c>
      <c r="I51" s="62">
        <v>8.0</v>
      </c>
      <c r="J51" s="62">
        <v>2.0</v>
      </c>
      <c r="K51" s="62">
        <v>0.0</v>
      </c>
      <c r="M51" s="62">
        <v>0.0</v>
      </c>
      <c r="N51" s="12" t="s">
        <v>20</v>
      </c>
      <c r="O51" s="12" t="s">
        <v>71</v>
      </c>
      <c r="P51" s="62">
        <v>0.1</v>
      </c>
      <c r="Q51" s="62">
        <v>0.05</v>
      </c>
      <c r="R51" s="62">
        <v>0.0</v>
      </c>
      <c r="S51" s="62">
        <v>0.0</v>
      </c>
      <c r="T51" s="63">
        <v>585.0</v>
      </c>
      <c r="U51" s="62">
        <v>58.05188860782508</v>
      </c>
      <c r="V51" s="62">
        <v>31.92853873430379</v>
      </c>
      <c r="W51" s="62">
        <v>675.0</v>
      </c>
      <c r="X51" s="62">
        <v>645.0</v>
      </c>
      <c r="Y51" s="62">
        <v>0.1</v>
      </c>
      <c r="Z51" s="62">
        <v>590.0</v>
      </c>
      <c r="AA51" s="62">
        <v>0.3</v>
      </c>
      <c r="AB51" s="62">
        <v>180.0</v>
      </c>
      <c r="AC51" s="62">
        <v>210.0</v>
      </c>
      <c r="AD51" s="62">
        <v>415.0</v>
      </c>
      <c r="AE51" s="62">
        <v>460.0</v>
      </c>
      <c r="AF51" s="62">
        <v>480.0</v>
      </c>
    </row>
    <row r="52" ht="15.75" customHeight="1">
      <c r="A52" s="12" t="s">
        <v>65</v>
      </c>
      <c r="B52" s="12" t="s">
        <v>160</v>
      </c>
      <c r="C52" s="12" t="s">
        <v>166</v>
      </c>
      <c r="D52" s="61" t="s">
        <v>167</v>
      </c>
      <c r="F52" s="12" t="s">
        <v>92</v>
      </c>
      <c r="G52" s="62">
        <v>150.0</v>
      </c>
      <c r="I52" s="62">
        <v>4.0</v>
      </c>
      <c r="K52" s="62">
        <v>0.0</v>
      </c>
      <c r="M52" s="62">
        <v>0.0</v>
      </c>
      <c r="N52" s="12" t="s">
        <v>70</v>
      </c>
      <c r="O52" s="12" t="s">
        <v>71</v>
      </c>
      <c r="P52" s="62">
        <v>0.1</v>
      </c>
      <c r="Q52" s="62">
        <v>0.05</v>
      </c>
      <c r="R52" s="62">
        <v>0.0</v>
      </c>
      <c r="S52" s="62">
        <v>0.0</v>
      </c>
      <c r="T52" s="63">
        <v>310.0</v>
      </c>
      <c r="U52" s="62">
        <v>30.573653942952486</v>
      </c>
      <c r="V52" s="62">
        <v>16.815509668623868</v>
      </c>
      <c r="W52" s="62">
        <v>355.0</v>
      </c>
      <c r="X52" s="62">
        <v>310.0</v>
      </c>
      <c r="Z52" s="62">
        <v>310.0</v>
      </c>
      <c r="AA52" s="62">
        <v>0.3</v>
      </c>
      <c r="AB52" s="62">
        <v>95.0</v>
      </c>
      <c r="AC52" s="62">
        <v>110.0</v>
      </c>
      <c r="AD52" s="62">
        <v>220.0</v>
      </c>
      <c r="AE52" s="62">
        <v>240.0</v>
      </c>
      <c r="AF52" s="62">
        <v>255.0</v>
      </c>
    </row>
    <row r="53" ht="15.75" customHeight="1">
      <c r="A53" s="12" t="s">
        <v>65</v>
      </c>
      <c r="B53" s="12" t="s">
        <v>160</v>
      </c>
      <c r="C53" s="12" t="s">
        <v>168</v>
      </c>
      <c r="D53" s="61" t="s">
        <v>169</v>
      </c>
      <c r="F53" s="12" t="s">
        <v>92</v>
      </c>
      <c r="G53" s="62">
        <v>150.0</v>
      </c>
      <c r="I53" s="62">
        <v>4.0</v>
      </c>
      <c r="K53" s="62">
        <v>0.0</v>
      </c>
      <c r="M53" s="62">
        <v>0.0</v>
      </c>
      <c r="N53" s="12" t="s">
        <v>70</v>
      </c>
      <c r="O53" s="12" t="s">
        <v>71</v>
      </c>
      <c r="P53" s="62">
        <v>0.1</v>
      </c>
      <c r="Q53" s="62">
        <v>0.05</v>
      </c>
      <c r="R53" s="62">
        <v>0.0</v>
      </c>
      <c r="S53" s="62">
        <v>0.0</v>
      </c>
      <c r="T53" s="63">
        <v>310.0</v>
      </c>
      <c r="U53" s="62">
        <v>30.573653942952486</v>
      </c>
      <c r="V53" s="62">
        <v>16.815509668623868</v>
      </c>
      <c r="W53" s="62">
        <v>355.0</v>
      </c>
      <c r="X53" s="62">
        <v>345.0</v>
      </c>
      <c r="Y53" s="62">
        <v>0.1</v>
      </c>
      <c r="Z53" s="62">
        <v>315.0</v>
      </c>
      <c r="AA53" s="62">
        <v>0.3</v>
      </c>
      <c r="AB53" s="62">
        <v>95.0</v>
      </c>
      <c r="AC53" s="62">
        <v>110.0</v>
      </c>
      <c r="AD53" s="62">
        <v>225.0</v>
      </c>
      <c r="AE53" s="62">
        <v>245.0</v>
      </c>
      <c r="AF53" s="62">
        <v>260.0</v>
      </c>
    </row>
    <row r="54" ht="15.75" customHeight="1">
      <c r="A54" s="12" t="s">
        <v>65</v>
      </c>
      <c r="B54" s="12" t="s">
        <v>160</v>
      </c>
      <c r="C54" s="12" t="s">
        <v>168</v>
      </c>
      <c r="D54" s="61" t="s">
        <v>170</v>
      </c>
      <c r="G54" s="62">
        <v>260.0</v>
      </c>
      <c r="H54" s="62">
        <v>240.0</v>
      </c>
      <c r="I54" s="62">
        <v>8.0</v>
      </c>
      <c r="J54" s="62">
        <v>3.0</v>
      </c>
      <c r="K54" s="62">
        <v>30.0</v>
      </c>
      <c r="M54" s="62">
        <v>0.0</v>
      </c>
      <c r="N54" s="12" t="s">
        <v>70</v>
      </c>
      <c r="O54" s="12" t="s">
        <v>71</v>
      </c>
      <c r="P54" s="62">
        <v>0.1</v>
      </c>
      <c r="Q54" s="62">
        <v>0.05</v>
      </c>
      <c r="R54" s="62">
        <v>0.0</v>
      </c>
      <c r="S54" s="62">
        <v>0.0</v>
      </c>
      <c r="T54" s="63">
        <v>715.0</v>
      </c>
      <c r="U54" s="62">
        <v>71.36328869864073</v>
      </c>
      <c r="V54" s="62">
        <v>39.2498087842524</v>
      </c>
      <c r="W54" s="62">
        <v>825.0</v>
      </c>
      <c r="X54" s="62">
        <v>790.0</v>
      </c>
      <c r="Y54" s="62">
        <v>0.1</v>
      </c>
      <c r="Z54" s="62">
        <v>720.0</v>
      </c>
      <c r="AA54" s="62">
        <v>0.3</v>
      </c>
      <c r="AB54" s="62">
        <v>220.0</v>
      </c>
      <c r="AC54" s="62">
        <v>255.0</v>
      </c>
      <c r="AD54" s="62">
        <v>510.0</v>
      </c>
      <c r="AE54" s="62">
        <v>560.0</v>
      </c>
      <c r="AF54" s="62">
        <v>585.0</v>
      </c>
    </row>
    <row r="55" ht="15.75" customHeight="1">
      <c r="A55" s="12" t="s">
        <v>65</v>
      </c>
      <c r="B55" s="12" t="s">
        <v>160</v>
      </c>
      <c r="C55" s="12" t="s">
        <v>168</v>
      </c>
      <c r="D55" s="61" t="s">
        <v>171</v>
      </c>
      <c r="F55" s="12" t="s">
        <v>9</v>
      </c>
      <c r="G55" s="62">
        <v>250.0</v>
      </c>
      <c r="I55" s="62">
        <v>8.0</v>
      </c>
      <c r="K55" s="62">
        <v>0.0</v>
      </c>
      <c r="M55" s="62">
        <v>0.0</v>
      </c>
      <c r="N55" s="12" t="s">
        <v>70</v>
      </c>
      <c r="O55" s="12" t="s">
        <v>71</v>
      </c>
      <c r="P55" s="62">
        <v>0.1</v>
      </c>
      <c r="Q55" s="62">
        <v>0.05</v>
      </c>
      <c r="R55" s="62">
        <v>0.0</v>
      </c>
      <c r="S55" s="62">
        <v>0.0</v>
      </c>
      <c r="T55" s="63">
        <v>545.0</v>
      </c>
      <c r="U55" s="62">
        <v>54.43228722626895</v>
      </c>
      <c r="V55" s="62">
        <v>29.93775797444792</v>
      </c>
      <c r="W55" s="62">
        <v>630.0</v>
      </c>
      <c r="X55" s="62">
        <v>790.0</v>
      </c>
      <c r="Y55" s="62">
        <v>0.1</v>
      </c>
      <c r="Z55" s="62">
        <v>720.0</v>
      </c>
      <c r="AA55" s="62">
        <v>0.3</v>
      </c>
      <c r="AB55" s="62">
        <v>220.0</v>
      </c>
      <c r="AC55" s="62">
        <v>255.0</v>
      </c>
      <c r="AD55" s="62">
        <v>560.0</v>
      </c>
      <c r="AE55" s="62">
        <v>615.0</v>
      </c>
      <c r="AF55" s="62">
        <v>645.0</v>
      </c>
    </row>
    <row r="56" ht="15.75" customHeight="1">
      <c r="A56" s="12" t="s">
        <v>65</v>
      </c>
      <c r="B56" s="12" t="s">
        <v>160</v>
      </c>
      <c r="C56" s="12" t="s">
        <v>168</v>
      </c>
      <c r="D56" s="61" t="s">
        <v>172</v>
      </c>
      <c r="F56" s="12" t="s">
        <v>9</v>
      </c>
      <c r="G56" s="62">
        <v>250.0</v>
      </c>
      <c r="I56" s="62">
        <v>9.0</v>
      </c>
      <c r="K56" s="62">
        <v>0.0</v>
      </c>
      <c r="M56" s="62">
        <v>0.0</v>
      </c>
      <c r="N56" s="12" t="s">
        <v>70</v>
      </c>
      <c r="O56" s="12" t="s">
        <v>71</v>
      </c>
      <c r="P56" s="62">
        <v>0.1</v>
      </c>
      <c r="Q56" s="62">
        <v>0.05</v>
      </c>
      <c r="R56" s="62">
        <v>0.0</v>
      </c>
      <c r="S56" s="62">
        <v>0.0</v>
      </c>
      <c r="T56" s="63">
        <v>585.0</v>
      </c>
      <c r="U56" s="62">
        <v>58.438285654136315</v>
      </c>
      <c r="V56" s="62">
        <v>32.14105710977497</v>
      </c>
      <c r="W56" s="62">
        <v>675.0</v>
      </c>
      <c r="X56" s="62">
        <v>645.0</v>
      </c>
      <c r="Y56" s="62">
        <v>0.1</v>
      </c>
      <c r="Z56" s="62">
        <v>590.0</v>
      </c>
      <c r="AA56" s="62">
        <v>0.3</v>
      </c>
      <c r="AB56" s="62">
        <v>180.0</v>
      </c>
      <c r="AC56" s="62">
        <v>210.0</v>
      </c>
      <c r="AD56" s="62">
        <v>415.0</v>
      </c>
      <c r="AE56" s="62">
        <v>460.0</v>
      </c>
      <c r="AF56" s="62">
        <v>480.0</v>
      </c>
    </row>
    <row r="57" ht="15.75" customHeight="1">
      <c r="A57" s="12" t="s">
        <v>65</v>
      </c>
      <c r="B57" s="12" t="s">
        <v>160</v>
      </c>
      <c r="C57" s="12" t="s">
        <v>168</v>
      </c>
      <c r="D57" s="61" t="s">
        <v>173</v>
      </c>
      <c r="G57" s="62">
        <v>210.0</v>
      </c>
      <c r="H57" s="62">
        <v>200.0</v>
      </c>
      <c r="I57" s="62">
        <v>8.0</v>
      </c>
      <c r="J57" s="62">
        <v>3.0</v>
      </c>
      <c r="K57" s="62">
        <v>25.0</v>
      </c>
      <c r="M57" s="62">
        <v>0.0</v>
      </c>
      <c r="N57" s="12" t="s">
        <v>70</v>
      </c>
      <c r="O57" s="12" t="s">
        <v>71</v>
      </c>
      <c r="P57" s="62">
        <v>0.1</v>
      </c>
      <c r="Q57" s="62">
        <v>0.05</v>
      </c>
      <c r="R57" s="62">
        <v>0.0</v>
      </c>
      <c r="S57" s="62">
        <v>0.0</v>
      </c>
      <c r="T57" s="63">
        <v>670.0</v>
      </c>
      <c r="U57" s="62">
        <v>66.9945376202785</v>
      </c>
      <c r="V57" s="62">
        <v>36.846995691153175</v>
      </c>
      <c r="W57" s="62">
        <v>775.0</v>
      </c>
      <c r="X57" s="62">
        <v>740.0</v>
      </c>
      <c r="Y57" s="62">
        <v>0.1</v>
      </c>
      <c r="Z57" s="62">
        <v>675.0</v>
      </c>
      <c r="AA57" s="62">
        <v>0.3</v>
      </c>
      <c r="AB57" s="62">
        <v>205.0</v>
      </c>
      <c r="AC57" s="62">
        <v>240.0</v>
      </c>
      <c r="AD57" s="62">
        <v>475.0</v>
      </c>
      <c r="AE57" s="62">
        <v>525.0</v>
      </c>
      <c r="AF57" s="62">
        <v>550.0</v>
      </c>
    </row>
    <row r="58" ht="15.75" customHeight="1">
      <c r="A58" s="12" t="s">
        <v>65</v>
      </c>
      <c r="B58" s="12" t="s">
        <v>160</v>
      </c>
      <c r="C58" s="12" t="s">
        <v>168</v>
      </c>
      <c r="D58" s="61" t="s">
        <v>174</v>
      </c>
      <c r="G58" s="62">
        <v>250.0</v>
      </c>
      <c r="H58" s="62">
        <v>380.0</v>
      </c>
      <c r="I58" s="62">
        <v>9.0</v>
      </c>
      <c r="J58" s="62">
        <v>4.0</v>
      </c>
      <c r="K58" s="62">
        <v>25.0</v>
      </c>
      <c r="M58" s="62">
        <v>0.0</v>
      </c>
      <c r="N58" s="12" t="s">
        <v>80</v>
      </c>
      <c r="O58" s="12" t="s">
        <v>71</v>
      </c>
      <c r="P58" s="62">
        <v>0.1</v>
      </c>
      <c r="Q58" s="62">
        <v>0.05</v>
      </c>
      <c r="R58" s="62">
        <v>0.0</v>
      </c>
      <c r="S58" s="62">
        <v>0.0</v>
      </c>
      <c r="T58" s="63">
        <v>750.0</v>
      </c>
      <c r="U58" s="62">
        <v>74.62710890798418</v>
      </c>
      <c r="V58" s="62">
        <v>41.0449098993913</v>
      </c>
      <c r="W58" s="62">
        <v>865.0</v>
      </c>
      <c r="X58" s="62">
        <v>760.0</v>
      </c>
      <c r="Y58" s="62">
        <v>0.1</v>
      </c>
      <c r="Z58" s="62">
        <v>695.0</v>
      </c>
      <c r="AA58" s="62">
        <v>0.3</v>
      </c>
      <c r="AB58" s="62">
        <v>210.0</v>
      </c>
      <c r="AC58" s="62">
        <v>245.0</v>
      </c>
      <c r="AD58" s="62">
        <v>470.0</v>
      </c>
      <c r="AE58" s="62">
        <v>520.0</v>
      </c>
      <c r="AF58" s="62">
        <v>545.0</v>
      </c>
    </row>
    <row r="59" ht="15.75" customHeight="1">
      <c r="A59" s="12" t="s">
        <v>65</v>
      </c>
      <c r="B59" s="12" t="s">
        <v>160</v>
      </c>
      <c r="C59" s="12" t="s">
        <v>168</v>
      </c>
      <c r="D59" s="61" t="s">
        <v>175</v>
      </c>
      <c r="G59" s="62">
        <v>250.0</v>
      </c>
      <c r="H59" s="62">
        <v>380.0</v>
      </c>
      <c r="I59" s="62">
        <v>9.0</v>
      </c>
      <c r="J59" s="62">
        <v>4.0</v>
      </c>
      <c r="K59" s="62">
        <v>60.0</v>
      </c>
      <c r="M59" s="62">
        <v>0.0</v>
      </c>
      <c r="N59" s="12" t="s">
        <v>70</v>
      </c>
      <c r="O59" s="12" t="s">
        <v>71</v>
      </c>
      <c r="P59" s="62">
        <v>0.1</v>
      </c>
      <c r="Q59" s="62">
        <v>0.05</v>
      </c>
      <c r="R59" s="62">
        <v>0.0</v>
      </c>
      <c r="S59" s="62">
        <v>0.0</v>
      </c>
      <c r="T59" s="63">
        <v>755.0</v>
      </c>
      <c r="U59" s="62">
        <v>75.13565019724538</v>
      </c>
      <c r="V59" s="62">
        <v>41.32460760848496</v>
      </c>
      <c r="W59" s="62">
        <v>870.0</v>
      </c>
      <c r="X59" s="62">
        <v>835.0</v>
      </c>
      <c r="Y59" s="62">
        <v>0.1</v>
      </c>
      <c r="Z59" s="62">
        <v>760.0</v>
      </c>
      <c r="AA59" s="62">
        <v>0.3</v>
      </c>
      <c r="AB59" s="62">
        <v>230.0</v>
      </c>
      <c r="AC59" s="62">
        <v>270.0</v>
      </c>
      <c r="AD59" s="62">
        <v>535.0</v>
      </c>
      <c r="AE59" s="62">
        <v>590.0</v>
      </c>
      <c r="AF59" s="62">
        <v>620.0</v>
      </c>
    </row>
    <row r="60" ht="15.75" customHeight="1">
      <c r="A60" s="12" t="s">
        <v>65</v>
      </c>
      <c r="B60" s="12" t="s">
        <v>160</v>
      </c>
      <c r="C60" s="12" t="s">
        <v>176</v>
      </c>
      <c r="D60" s="61" t="s">
        <v>177</v>
      </c>
      <c r="G60" s="62">
        <v>350.0</v>
      </c>
      <c r="H60" s="62">
        <v>30.0</v>
      </c>
      <c r="I60" s="62">
        <v>9.0</v>
      </c>
      <c r="J60" s="62">
        <v>1.0</v>
      </c>
      <c r="K60" s="62">
        <v>0.0</v>
      </c>
      <c r="M60" s="62">
        <v>0.0</v>
      </c>
      <c r="N60" s="12" t="s">
        <v>70</v>
      </c>
      <c r="O60" s="12" t="s">
        <v>22</v>
      </c>
      <c r="P60" s="62">
        <v>0.1</v>
      </c>
      <c r="Q60" s="62">
        <v>0.05</v>
      </c>
      <c r="R60" s="62">
        <v>0.0</v>
      </c>
      <c r="S60" s="62">
        <v>0.0</v>
      </c>
      <c r="T60" s="63">
        <v>620.0</v>
      </c>
      <c r="U60" s="62">
        <v>61.75803137977984</v>
      </c>
      <c r="V60" s="62">
        <v>33.96691725887891</v>
      </c>
      <c r="W60" s="62">
        <v>715.0</v>
      </c>
      <c r="X60" s="62">
        <v>685.0</v>
      </c>
      <c r="Y60" s="62">
        <v>0.1</v>
      </c>
      <c r="Z60" s="62">
        <v>625.0</v>
      </c>
      <c r="AA60" s="62">
        <v>0.3</v>
      </c>
      <c r="AB60" s="62">
        <v>190.0</v>
      </c>
      <c r="AC60" s="62">
        <v>220.0</v>
      </c>
      <c r="AD60" s="62">
        <v>440.0</v>
      </c>
      <c r="AE60" s="62">
        <v>485.0</v>
      </c>
      <c r="AF60" s="62">
        <v>510.0</v>
      </c>
    </row>
    <row r="61" ht="15.75" customHeight="1">
      <c r="A61" s="12" t="s">
        <v>65</v>
      </c>
      <c r="B61" s="12" t="s">
        <v>178</v>
      </c>
      <c r="C61" s="12" t="s">
        <v>179</v>
      </c>
      <c r="D61" s="61" t="s">
        <v>180</v>
      </c>
      <c r="F61" s="12" t="s">
        <v>79</v>
      </c>
      <c r="G61" s="62">
        <v>150.0</v>
      </c>
      <c r="I61" s="62">
        <v>3.0</v>
      </c>
      <c r="K61" s="62">
        <v>0.0</v>
      </c>
      <c r="M61" s="62">
        <v>0.0</v>
      </c>
      <c r="N61" s="12" t="s">
        <v>70</v>
      </c>
      <c r="O61" s="12" t="s">
        <v>76</v>
      </c>
      <c r="P61" s="62">
        <v>0.1</v>
      </c>
      <c r="Q61" s="62">
        <v>0.05</v>
      </c>
      <c r="R61" s="62">
        <v>0.0</v>
      </c>
      <c r="S61" s="62">
        <v>0.0</v>
      </c>
      <c r="T61" s="63">
        <v>255.0</v>
      </c>
      <c r="U61" s="62">
        <v>25.358835729394443</v>
      </c>
      <c r="V61" s="62">
        <v>13.947359651166943</v>
      </c>
      <c r="W61" s="62">
        <v>295.0</v>
      </c>
      <c r="X61" s="62">
        <v>285.0</v>
      </c>
      <c r="Z61" s="62">
        <v>285.0</v>
      </c>
      <c r="AA61" s="62">
        <v>0.3</v>
      </c>
      <c r="AB61" s="62">
        <v>90.0</v>
      </c>
      <c r="AC61" s="62">
        <v>105.0</v>
      </c>
      <c r="AD61" s="62">
        <v>210.0</v>
      </c>
      <c r="AE61" s="62">
        <v>230.0</v>
      </c>
      <c r="AF61" s="62">
        <v>245.0</v>
      </c>
    </row>
    <row r="62" ht="15.75" customHeight="1">
      <c r="A62" s="12" t="s">
        <v>65</v>
      </c>
      <c r="B62" s="12" t="s">
        <v>178</v>
      </c>
      <c r="C62" s="12" t="s">
        <v>179</v>
      </c>
      <c r="D62" s="61" t="s">
        <v>181</v>
      </c>
      <c r="G62" s="62">
        <v>300.0</v>
      </c>
      <c r="I62" s="62">
        <v>10.0</v>
      </c>
      <c r="K62" s="62">
        <v>0.0</v>
      </c>
      <c r="M62" s="62">
        <v>0.0</v>
      </c>
      <c r="N62" s="12" t="s">
        <v>70</v>
      </c>
      <c r="O62" s="12" t="s">
        <v>76</v>
      </c>
      <c r="P62" s="62">
        <v>0.1</v>
      </c>
      <c r="Q62" s="62">
        <v>0.05</v>
      </c>
      <c r="R62" s="62">
        <v>0.0</v>
      </c>
      <c r="S62" s="62">
        <v>0.0</v>
      </c>
      <c r="T62" s="63">
        <v>805.0</v>
      </c>
      <c r="U62" s="62">
        <v>80.05662104519106</v>
      </c>
      <c r="V62" s="62">
        <v>44.031141574855084</v>
      </c>
      <c r="W62" s="62">
        <v>925.0</v>
      </c>
      <c r="X62" s="62">
        <v>890.0</v>
      </c>
      <c r="Z62" s="62">
        <v>890.0</v>
      </c>
      <c r="AA62" s="62">
        <v>0.3</v>
      </c>
      <c r="AB62" s="62">
        <v>270.0</v>
      </c>
      <c r="AC62" s="62">
        <v>315.0</v>
      </c>
      <c r="AD62" s="62">
        <v>650.0</v>
      </c>
      <c r="AE62" s="62">
        <v>715.0</v>
      </c>
      <c r="AF62" s="62">
        <v>750.0</v>
      </c>
    </row>
    <row r="63" ht="15.75" customHeight="1">
      <c r="A63" s="12" t="s">
        <v>65</v>
      </c>
      <c r="B63" s="12" t="s">
        <v>178</v>
      </c>
      <c r="C63" s="12" t="s">
        <v>179</v>
      </c>
      <c r="D63" s="61" t="s">
        <v>182</v>
      </c>
      <c r="G63" s="62">
        <v>250.0</v>
      </c>
      <c r="I63" s="62">
        <v>8.0</v>
      </c>
      <c r="K63" s="62">
        <v>0.0</v>
      </c>
      <c r="M63" s="62">
        <v>0.0</v>
      </c>
      <c r="N63" s="12" t="s">
        <v>70</v>
      </c>
      <c r="O63" s="12" t="s">
        <v>76</v>
      </c>
      <c r="P63" s="62">
        <v>0.1</v>
      </c>
      <c r="Q63" s="62">
        <v>0.05</v>
      </c>
      <c r="R63" s="62">
        <v>0.0</v>
      </c>
      <c r="S63" s="62">
        <v>0.0</v>
      </c>
      <c r="T63" s="63">
        <v>655.0</v>
      </c>
      <c r="U63" s="62">
        <v>65.31874467152272</v>
      </c>
      <c r="V63" s="62">
        <v>35.9253095693375</v>
      </c>
      <c r="W63" s="62">
        <v>755.0</v>
      </c>
      <c r="X63" s="62">
        <v>725.0</v>
      </c>
      <c r="Z63" s="62">
        <v>725.0</v>
      </c>
      <c r="AA63" s="62">
        <v>0.3</v>
      </c>
      <c r="AB63" s="62">
        <v>220.0</v>
      </c>
      <c r="AC63" s="62">
        <v>255.0</v>
      </c>
      <c r="AD63" s="62">
        <v>530.0</v>
      </c>
      <c r="AE63" s="62">
        <v>585.0</v>
      </c>
      <c r="AF63" s="62">
        <v>615.0</v>
      </c>
    </row>
    <row r="64" ht="15.75" customHeight="1">
      <c r="A64" s="12" t="s">
        <v>65</v>
      </c>
      <c r="B64" s="12" t="s">
        <v>178</v>
      </c>
      <c r="C64" s="12" t="s">
        <v>158</v>
      </c>
      <c r="D64" s="61" t="s">
        <v>183</v>
      </c>
      <c r="F64" s="12" t="s">
        <v>9</v>
      </c>
      <c r="G64" s="62">
        <v>250.0</v>
      </c>
      <c r="I64" s="62">
        <v>9.0</v>
      </c>
      <c r="L64" s="62">
        <v>0.0</v>
      </c>
      <c r="N64" s="12" t="s">
        <v>80</v>
      </c>
      <c r="O64" s="12" t="s">
        <v>71</v>
      </c>
      <c r="P64" s="62">
        <v>0.1</v>
      </c>
      <c r="Q64" s="62">
        <v>0.05</v>
      </c>
      <c r="R64" s="62">
        <v>0.0</v>
      </c>
      <c r="S64" s="62">
        <v>0.0</v>
      </c>
      <c r="T64" s="63">
        <v>640.0</v>
      </c>
      <c r="U64" s="62">
        <v>63.87909155986625</v>
      </c>
      <c r="V64" s="62">
        <v>35.13350035792643</v>
      </c>
      <c r="W64" s="62">
        <v>740.0</v>
      </c>
      <c r="X64" s="62">
        <v>640.0</v>
      </c>
      <c r="Y64" s="62">
        <v>0.1</v>
      </c>
      <c r="Z64" s="62">
        <v>585.0</v>
      </c>
      <c r="AA64" s="62">
        <v>0.3</v>
      </c>
      <c r="AB64" s="62">
        <v>180.0</v>
      </c>
      <c r="AC64" s="62">
        <v>210.0</v>
      </c>
      <c r="AD64" s="62">
        <v>395.0</v>
      </c>
      <c r="AE64" s="62">
        <v>435.0</v>
      </c>
      <c r="AF64" s="62">
        <v>455.0</v>
      </c>
    </row>
    <row r="65" ht="15.75" customHeight="1">
      <c r="A65" s="12" t="s">
        <v>65</v>
      </c>
      <c r="B65" s="12" t="s">
        <v>178</v>
      </c>
      <c r="C65" s="12" t="s">
        <v>168</v>
      </c>
      <c r="D65" s="61" t="s">
        <v>184</v>
      </c>
      <c r="G65" s="62">
        <v>280.0</v>
      </c>
      <c r="H65" s="62">
        <v>250.0</v>
      </c>
      <c r="I65" s="62">
        <v>8.0</v>
      </c>
      <c r="L65" s="62">
        <v>30.0</v>
      </c>
      <c r="N65" s="12" t="s">
        <v>80</v>
      </c>
      <c r="O65" s="12" t="s">
        <v>71</v>
      </c>
      <c r="P65" s="62">
        <v>0.1</v>
      </c>
      <c r="Q65" s="62">
        <v>0.05</v>
      </c>
      <c r="R65" s="62">
        <v>0.0</v>
      </c>
      <c r="S65" s="62">
        <v>0.0</v>
      </c>
      <c r="T65" s="63">
        <v>755.0</v>
      </c>
      <c r="U65" s="62">
        <v>75.0313982088647</v>
      </c>
      <c r="V65" s="62">
        <v>41.26726901487559</v>
      </c>
      <c r="W65" s="62">
        <v>870.0</v>
      </c>
      <c r="X65" s="62">
        <v>755.0</v>
      </c>
      <c r="Y65" s="62">
        <v>0.1</v>
      </c>
      <c r="Z65" s="62">
        <v>690.0</v>
      </c>
      <c r="AA65" s="62">
        <v>0.3</v>
      </c>
      <c r="AB65" s="62">
        <v>210.0</v>
      </c>
      <c r="AC65" s="62">
        <v>245.0</v>
      </c>
      <c r="AD65" s="62">
        <v>465.0</v>
      </c>
      <c r="AE65" s="62">
        <v>510.0</v>
      </c>
      <c r="AF65" s="62">
        <v>540.0</v>
      </c>
    </row>
    <row r="66" ht="15.75" customHeight="1">
      <c r="A66" s="12" t="s">
        <v>65</v>
      </c>
      <c r="B66" s="12" t="s">
        <v>178</v>
      </c>
      <c r="C66" s="12" t="s">
        <v>168</v>
      </c>
      <c r="D66" s="61" t="s">
        <v>185</v>
      </c>
      <c r="F66" s="12" t="s">
        <v>92</v>
      </c>
      <c r="G66" s="62">
        <v>150.0</v>
      </c>
      <c r="I66" s="62">
        <v>4.0</v>
      </c>
      <c r="L66" s="62">
        <v>0.0</v>
      </c>
      <c r="N66" s="12" t="s">
        <v>80</v>
      </c>
      <c r="O66" s="12" t="s">
        <v>71</v>
      </c>
      <c r="P66" s="62">
        <v>0.1</v>
      </c>
      <c r="Q66" s="62">
        <v>0.05</v>
      </c>
      <c r="R66" s="62">
        <v>0.0</v>
      </c>
      <c r="S66" s="62">
        <v>0.0</v>
      </c>
      <c r="T66" s="63">
        <v>335.0</v>
      </c>
      <c r="U66" s="62">
        <v>33.420166551434264</v>
      </c>
      <c r="V66" s="62">
        <v>18.381091603288844</v>
      </c>
      <c r="W66" s="62">
        <v>390.0</v>
      </c>
      <c r="X66" s="62">
        <v>335.0</v>
      </c>
      <c r="Y66" s="62">
        <v>0.1</v>
      </c>
      <c r="Z66" s="62">
        <v>305.0</v>
      </c>
      <c r="AA66" s="62">
        <v>0.3</v>
      </c>
      <c r="AB66" s="62">
        <v>95.0</v>
      </c>
      <c r="AC66" s="62">
        <v>110.0</v>
      </c>
      <c r="AD66" s="62">
        <v>205.0</v>
      </c>
      <c r="AE66" s="62">
        <v>225.0</v>
      </c>
      <c r="AF66" s="62">
        <v>240.0</v>
      </c>
    </row>
    <row r="67" ht="15.75" customHeight="1">
      <c r="A67" s="12" t="s">
        <v>65</v>
      </c>
      <c r="B67" s="12" t="s">
        <v>178</v>
      </c>
      <c r="C67" s="12" t="s">
        <v>168</v>
      </c>
      <c r="D67" s="61" t="s">
        <v>186</v>
      </c>
      <c r="G67" s="62">
        <v>200.0</v>
      </c>
      <c r="I67" s="62">
        <v>8.0</v>
      </c>
      <c r="L67" s="62">
        <v>0.0</v>
      </c>
      <c r="N67" s="12" t="s">
        <v>80</v>
      </c>
      <c r="O67" s="12" t="s">
        <v>71</v>
      </c>
      <c r="P67" s="62">
        <v>0.1</v>
      </c>
      <c r="Q67" s="62">
        <v>0.05</v>
      </c>
      <c r="R67" s="62">
        <v>0.0</v>
      </c>
      <c r="S67" s="62">
        <v>0.0</v>
      </c>
      <c r="T67" s="63">
        <v>555.0</v>
      </c>
      <c r="U67" s="62">
        <v>55.120274538235805</v>
      </c>
      <c r="V67" s="62">
        <v>30.31615099602969</v>
      </c>
      <c r="W67" s="62">
        <v>640.0</v>
      </c>
      <c r="X67" s="62">
        <v>555.0</v>
      </c>
      <c r="Y67" s="62">
        <v>0.1</v>
      </c>
      <c r="Z67" s="62">
        <v>505.0</v>
      </c>
      <c r="AA67" s="62">
        <v>0.3</v>
      </c>
      <c r="AB67" s="62">
        <v>155.0</v>
      </c>
      <c r="AC67" s="62">
        <v>180.0</v>
      </c>
      <c r="AD67" s="62">
        <v>340.0</v>
      </c>
      <c r="AE67" s="62">
        <v>375.0</v>
      </c>
      <c r="AF67" s="62">
        <v>395.0</v>
      </c>
    </row>
    <row r="68" ht="15.75" customHeight="1">
      <c r="A68" s="12" t="s">
        <v>65</v>
      </c>
      <c r="B68" s="12" t="s">
        <v>178</v>
      </c>
      <c r="C68" s="12" t="s">
        <v>168</v>
      </c>
      <c r="D68" s="61" t="s">
        <v>187</v>
      </c>
      <c r="G68" s="62">
        <v>200.0</v>
      </c>
      <c r="I68" s="62">
        <v>8.0</v>
      </c>
      <c r="L68" s="62">
        <v>0.0</v>
      </c>
      <c r="N68" s="12" t="s">
        <v>80</v>
      </c>
      <c r="O68" s="12" t="s">
        <v>71</v>
      </c>
      <c r="P68" s="62">
        <v>0.1</v>
      </c>
      <c r="Q68" s="62">
        <v>0.05</v>
      </c>
      <c r="R68" s="62">
        <v>0.0</v>
      </c>
      <c r="S68" s="62">
        <v>0.0</v>
      </c>
      <c r="T68" s="63">
        <v>555.0</v>
      </c>
      <c r="U68" s="62">
        <v>55.120274538235805</v>
      </c>
      <c r="V68" s="62">
        <v>30.31615099602969</v>
      </c>
      <c r="W68" s="62">
        <v>640.0</v>
      </c>
      <c r="X68" s="62">
        <v>555.0</v>
      </c>
      <c r="Y68" s="62">
        <v>0.1</v>
      </c>
      <c r="Z68" s="62">
        <v>505.0</v>
      </c>
      <c r="AA68" s="62">
        <v>0.3</v>
      </c>
      <c r="AB68" s="62">
        <v>155.0</v>
      </c>
      <c r="AC68" s="62">
        <v>180.0</v>
      </c>
      <c r="AD68" s="62">
        <v>340.0</v>
      </c>
      <c r="AE68" s="62">
        <v>375.0</v>
      </c>
      <c r="AF68" s="62">
        <v>395.0</v>
      </c>
    </row>
    <row r="69" ht="15.75" customHeight="1">
      <c r="A69" s="12" t="s">
        <v>65</v>
      </c>
      <c r="B69" s="12" t="s">
        <v>178</v>
      </c>
      <c r="C69" s="12" t="s">
        <v>168</v>
      </c>
      <c r="D69" s="61" t="s">
        <v>188</v>
      </c>
      <c r="F69" s="12" t="s">
        <v>9</v>
      </c>
      <c r="G69" s="62">
        <v>250.0</v>
      </c>
      <c r="I69" s="62">
        <v>8.0</v>
      </c>
      <c r="L69" s="62">
        <v>0.0</v>
      </c>
      <c r="N69" s="12" t="s">
        <v>80</v>
      </c>
      <c r="O69" s="12" t="s">
        <v>71</v>
      </c>
      <c r="P69" s="62">
        <v>0.1</v>
      </c>
      <c r="Q69" s="62">
        <v>0.05</v>
      </c>
      <c r="R69" s="62">
        <v>0.0</v>
      </c>
      <c r="S69" s="62">
        <v>0.0</v>
      </c>
      <c r="T69" s="63">
        <v>600.0</v>
      </c>
      <c r="U69" s="62">
        <v>59.50012086457674</v>
      </c>
      <c r="V69" s="62">
        <v>32.72506647551721</v>
      </c>
      <c r="W69" s="62">
        <v>690.0</v>
      </c>
      <c r="X69" s="62">
        <v>600.0</v>
      </c>
      <c r="Y69" s="62">
        <v>0.1</v>
      </c>
      <c r="Z69" s="62">
        <v>550.0</v>
      </c>
      <c r="AA69" s="62">
        <v>0.3</v>
      </c>
      <c r="AB69" s="62">
        <v>165.0</v>
      </c>
      <c r="AC69" s="62">
        <v>195.0</v>
      </c>
      <c r="AD69" s="62">
        <v>370.0</v>
      </c>
      <c r="AE69" s="62">
        <v>410.0</v>
      </c>
      <c r="AF69" s="62">
        <v>430.0</v>
      </c>
    </row>
    <row r="70" ht="15.75" customHeight="1">
      <c r="A70" s="12" t="s">
        <v>65</v>
      </c>
      <c r="B70" s="12" t="s">
        <v>178</v>
      </c>
      <c r="C70" s="12" t="s">
        <v>168</v>
      </c>
      <c r="D70" s="61" t="s">
        <v>189</v>
      </c>
      <c r="F70" s="12" t="s">
        <v>9</v>
      </c>
      <c r="G70" s="62">
        <v>250.0</v>
      </c>
      <c r="I70" s="62">
        <v>9.0</v>
      </c>
      <c r="L70" s="62">
        <v>0.0</v>
      </c>
      <c r="N70" s="12" t="s">
        <v>80</v>
      </c>
      <c r="O70" s="12" t="s">
        <v>71</v>
      </c>
      <c r="P70" s="62">
        <v>0.1</v>
      </c>
      <c r="Q70" s="62">
        <v>0.05</v>
      </c>
      <c r="R70" s="62">
        <v>0.0</v>
      </c>
      <c r="S70" s="62">
        <v>0.0</v>
      </c>
      <c r="T70" s="63">
        <v>640.0</v>
      </c>
      <c r="U70" s="62">
        <v>63.87909155986625</v>
      </c>
      <c r="V70" s="62">
        <v>35.13350035792643</v>
      </c>
      <c r="W70" s="62">
        <v>740.0</v>
      </c>
      <c r="X70" s="62">
        <v>640.0</v>
      </c>
      <c r="Y70" s="62">
        <v>0.1</v>
      </c>
      <c r="Z70" s="62">
        <v>585.0</v>
      </c>
      <c r="AA70" s="62">
        <v>0.3</v>
      </c>
      <c r="AB70" s="62">
        <v>180.0</v>
      </c>
      <c r="AC70" s="62">
        <v>210.0</v>
      </c>
      <c r="AD70" s="62">
        <v>395.0</v>
      </c>
      <c r="AE70" s="62">
        <v>435.0</v>
      </c>
      <c r="AF70" s="62">
        <v>455.0</v>
      </c>
    </row>
    <row r="71" ht="15.75" customHeight="1">
      <c r="A71" s="12" t="s">
        <v>65</v>
      </c>
      <c r="B71" s="12" t="s">
        <v>178</v>
      </c>
      <c r="C71" s="12" t="s">
        <v>168</v>
      </c>
      <c r="D71" s="61" t="s">
        <v>190</v>
      </c>
      <c r="G71" s="62">
        <v>250.0</v>
      </c>
      <c r="H71" s="62">
        <v>380.0</v>
      </c>
      <c r="I71" s="62">
        <v>9.0</v>
      </c>
      <c r="L71" s="62">
        <v>60.0</v>
      </c>
      <c r="N71" s="12" t="s">
        <v>80</v>
      </c>
      <c r="O71" s="12" t="s">
        <v>71</v>
      </c>
      <c r="P71" s="62">
        <v>0.1</v>
      </c>
      <c r="Q71" s="62">
        <v>0.05</v>
      </c>
      <c r="R71" s="62">
        <v>0.0</v>
      </c>
      <c r="S71" s="62">
        <v>0.0</v>
      </c>
      <c r="T71" s="63">
        <v>800.0</v>
      </c>
      <c r="U71" s="62">
        <v>79.7456496981866</v>
      </c>
      <c r="V71" s="62">
        <v>43.860107334002635</v>
      </c>
      <c r="W71" s="62">
        <v>925.0</v>
      </c>
      <c r="X71" s="62">
        <v>800.0</v>
      </c>
      <c r="Y71" s="62">
        <v>0.1</v>
      </c>
      <c r="Z71" s="62">
        <v>730.0</v>
      </c>
      <c r="AA71" s="62">
        <v>0.3</v>
      </c>
      <c r="AB71" s="62">
        <v>220.0</v>
      </c>
      <c r="AC71" s="62">
        <v>255.0</v>
      </c>
      <c r="AD71" s="62">
        <v>490.0</v>
      </c>
      <c r="AE71" s="62">
        <v>540.0</v>
      </c>
      <c r="AF71" s="62">
        <v>570.0</v>
      </c>
    </row>
    <row r="72" ht="15.75" customHeight="1">
      <c r="A72" s="12" t="s">
        <v>65</v>
      </c>
      <c r="B72" s="12" t="s">
        <v>191</v>
      </c>
      <c r="C72" s="12" t="s">
        <v>168</v>
      </c>
      <c r="D72" s="61" t="s">
        <v>192</v>
      </c>
      <c r="G72" s="62">
        <v>230.0</v>
      </c>
      <c r="H72" s="62">
        <v>200.0</v>
      </c>
      <c r="I72" s="62">
        <v>10.0</v>
      </c>
      <c r="L72" s="62">
        <v>36.0</v>
      </c>
      <c r="N72" s="12" t="s">
        <v>80</v>
      </c>
      <c r="O72" s="12" t="s">
        <v>71</v>
      </c>
      <c r="P72" s="62">
        <v>0.1</v>
      </c>
      <c r="Q72" s="62">
        <v>0.05</v>
      </c>
      <c r="R72" s="62">
        <v>0.0</v>
      </c>
      <c r="S72" s="62">
        <v>0.0</v>
      </c>
      <c r="T72" s="63">
        <v>805.0</v>
      </c>
      <c r="U72" s="62">
        <v>80.37309593182162</v>
      </c>
      <c r="V72" s="62">
        <v>44.20520276250189</v>
      </c>
      <c r="W72" s="62">
        <v>930.0</v>
      </c>
      <c r="X72" s="62">
        <v>805.0</v>
      </c>
      <c r="Y72" s="62">
        <v>0.1</v>
      </c>
      <c r="Z72" s="62">
        <v>735.0</v>
      </c>
      <c r="AA72" s="62">
        <v>0.3</v>
      </c>
      <c r="AB72" s="62">
        <v>225.0</v>
      </c>
      <c r="AC72" s="62">
        <v>260.0</v>
      </c>
      <c r="AD72" s="62">
        <v>495.0</v>
      </c>
      <c r="AE72" s="62">
        <v>545.0</v>
      </c>
      <c r="AF72" s="62">
        <v>570.0</v>
      </c>
    </row>
    <row r="73" ht="15.75" customHeight="1">
      <c r="A73" s="12" t="s">
        <v>65</v>
      </c>
      <c r="B73" s="12" t="s">
        <v>191</v>
      </c>
      <c r="C73" s="12" t="s">
        <v>168</v>
      </c>
      <c r="D73" s="61" t="s">
        <v>193</v>
      </c>
      <c r="G73" s="62">
        <v>230.0</v>
      </c>
      <c r="H73" s="62">
        <v>200.0</v>
      </c>
      <c r="I73" s="62">
        <v>10.0</v>
      </c>
      <c r="L73" s="62">
        <v>36.0</v>
      </c>
      <c r="N73" s="12" t="s">
        <v>80</v>
      </c>
      <c r="O73" s="12" t="s">
        <v>71</v>
      </c>
      <c r="P73" s="62">
        <v>0.1</v>
      </c>
      <c r="Q73" s="62">
        <v>0.05</v>
      </c>
      <c r="R73" s="62">
        <v>0.0</v>
      </c>
      <c r="S73" s="62">
        <v>0.0</v>
      </c>
      <c r="T73" s="63">
        <v>955.0</v>
      </c>
      <c r="U73" s="62">
        <v>95.37309593182162</v>
      </c>
      <c r="V73" s="62">
        <v>52.4552027625019</v>
      </c>
      <c r="W73" s="62">
        <v>1105.0</v>
      </c>
      <c r="X73" s="62">
        <v>955.0</v>
      </c>
      <c r="Y73" s="62">
        <v>0.1</v>
      </c>
      <c r="Z73" s="62">
        <v>870.0</v>
      </c>
      <c r="AA73" s="62">
        <v>0.3</v>
      </c>
      <c r="AB73" s="62">
        <v>265.0</v>
      </c>
      <c r="AC73" s="62">
        <v>310.0</v>
      </c>
      <c r="AD73" s="62">
        <v>585.0</v>
      </c>
      <c r="AE73" s="62">
        <v>645.0</v>
      </c>
      <c r="AF73" s="62">
        <v>675.0</v>
      </c>
    </row>
    <row r="74" ht="15.75" customHeight="1">
      <c r="A74" s="12" t="s">
        <v>65</v>
      </c>
      <c r="B74" s="12" t="s">
        <v>191</v>
      </c>
      <c r="C74" s="12" t="s">
        <v>168</v>
      </c>
      <c r="D74" s="61" t="s">
        <v>194</v>
      </c>
      <c r="G74" s="62">
        <v>210.0</v>
      </c>
      <c r="H74" s="62">
        <v>200.0</v>
      </c>
      <c r="I74" s="62">
        <v>8.0</v>
      </c>
      <c r="L74" s="62">
        <v>30.0</v>
      </c>
      <c r="N74" s="12" t="s">
        <v>80</v>
      </c>
      <c r="O74" s="12" t="s">
        <v>71</v>
      </c>
      <c r="P74" s="62">
        <v>0.1</v>
      </c>
      <c r="Q74" s="62">
        <v>0.05</v>
      </c>
      <c r="R74" s="62">
        <v>0.0</v>
      </c>
      <c r="S74" s="62">
        <v>0.0</v>
      </c>
      <c r="T74" s="63">
        <v>690.0</v>
      </c>
      <c r="U74" s="62">
        <v>68.68073738974874</v>
      </c>
      <c r="V74" s="62">
        <v>37.77440556436181</v>
      </c>
      <c r="W74" s="62">
        <v>795.0</v>
      </c>
      <c r="X74" s="62">
        <v>690.0</v>
      </c>
      <c r="Y74" s="62">
        <v>0.1</v>
      </c>
      <c r="Z74" s="62">
        <v>630.0</v>
      </c>
      <c r="AA74" s="62">
        <v>0.3</v>
      </c>
      <c r="AB74" s="62">
        <v>190.0</v>
      </c>
      <c r="AC74" s="62">
        <v>220.0</v>
      </c>
      <c r="AD74" s="62">
        <v>425.0</v>
      </c>
      <c r="AE74" s="62">
        <v>470.0</v>
      </c>
      <c r="AF74" s="62">
        <v>490.0</v>
      </c>
    </row>
    <row r="75" ht="15.75" customHeight="1">
      <c r="A75" s="12" t="s">
        <v>65</v>
      </c>
      <c r="B75" s="12" t="s">
        <v>191</v>
      </c>
      <c r="C75" s="12" t="s">
        <v>161</v>
      </c>
      <c r="D75" s="61" t="s">
        <v>195</v>
      </c>
      <c r="G75" s="62">
        <v>170.0</v>
      </c>
      <c r="H75" s="62">
        <v>160.0</v>
      </c>
      <c r="I75" s="62">
        <v>6.0</v>
      </c>
      <c r="L75" s="62">
        <v>0.0</v>
      </c>
      <c r="N75" s="12" t="s">
        <v>80</v>
      </c>
      <c r="O75" s="12" t="s">
        <v>71</v>
      </c>
      <c r="P75" s="62">
        <v>0.1</v>
      </c>
      <c r="Q75" s="62">
        <v>0.05</v>
      </c>
      <c r="R75" s="62">
        <v>0.0</v>
      </c>
      <c r="S75" s="62">
        <v>0.0</v>
      </c>
      <c r="T75" s="63">
        <v>505.0</v>
      </c>
      <c r="U75" s="62">
        <v>50.1001593485366</v>
      </c>
      <c r="V75" s="62">
        <v>27.555087641695128</v>
      </c>
      <c r="W75" s="62">
        <v>580.0</v>
      </c>
      <c r="X75" s="62">
        <v>505.0</v>
      </c>
      <c r="Y75" s="62">
        <v>0.1</v>
      </c>
      <c r="Z75" s="62">
        <v>460.0</v>
      </c>
      <c r="AA75" s="62">
        <v>0.3</v>
      </c>
      <c r="AB75" s="62">
        <v>140.0</v>
      </c>
      <c r="AC75" s="62">
        <v>165.0</v>
      </c>
      <c r="AD75" s="62">
        <v>310.0</v>
      </c>
      <c r="AE75" s="62">
        <v>340.0</v>
      </c>
      <c r="AF75" s="62">
        <v>360.0</v>
      </c>
    </row>
    <row r="76" ht="15.75" customHeight="1">
      <c r="A76" s="12" t="s">
        <v>65</v>
      </c>
      <c r="B76" s="12" t="s">
        <v>191</v>
      </c>
      <c r="C76" s="12" t="s">
        <v>131</v>
      </c>
      <c r="D76" s="61" t="s">
        <v>196</v>
      </c>
      <c r="F76" s="12" t="s">
        <v>79</v>
      </c>
      <c r="G76" s="62">
        <v>500.0</v>
      </c>
      <c r="I76" s="62">
        <v>6.0</v>
      </c>
      <c r="L76" s="62">
        <v>30.0</v>
      </c>
      <c r="N76" s="12" t="s">
        <v>70</v>
      </c>
      <c r="O76" s="12" t="s">
        <v>22</v>
      </c>
      <c r="P76" s="62">
        <v>0.1</v>
      </c>
      <c r="Q76" s="62">
        <v>0.05</v>
      </c>
      <c r="R76" s="62">
        <v>0.0</v>
      </c>
      <c r="S76" s="62">
        <v>0.0</v>
      </c>
      <c r="T76" s="63">
        <v>505.0</v>
      </c>
      <c r="U76" s="62">
        <v>50.269474795210115</v>
      </c>
      <c r="V76" s="62">
        <v>27.648211137365564</v>
      </c>
      <c r="W76" s="62">
        <v>585.0</v>
      </c>
      <c r="X76" s="62">
        <v>505.0</v>
      </c>
      <c r="Y76" s="62">
        <v>0.1</v>
      </c>
      <c r="Z76" s="62">
        <v>460.0</v>
      </c>
      <c r="AA76" s="62">
        <v>0.3</v>
      </c>
      <c r="AB76" s="62">
        <v>140.0</v>
      </c>
      <c r="AC76" s="62">
        <v>165.0</v>
      </c>
      <c r="AD76" s="62">
        <v>310.0</v>
      </c>
      <c r="AE76" s="62">
        <v>340.0</v>
      </c>
      <c r="AF76" s="62">
        <v>360.0</v>
      </c>
    </row>
    <row r="77" ht="15.75" customHeight="1">
      <c r="A77" s="12" t="s">
        <v>65</v>
      </c>
      <c r="B77" s="12" t="s">
        <v>191</v>
      </c>
      <c r="C77" s="12" t="s">
        <v>197</v>
      </c>
      <c r="D77" s="61" t="s">
        <v>198</v>
      </c>
      <c r="F77" s="12" t="s">
        <v>79</v>
      </c>
      <c r="G77" s="62">
        <v>190.0</v>
      </c>
      <c r="H77" s="62">
        <v>300.0</v>
      </c>
      <c r="I77" s="62">
        <v>3.0</v>
      </c>
      <c r="K77" s="62">
        <v>5.0</v>
      </c>
      <c r="L77" s="62">
        <v>30.0</v>
      </c>
      <c r="N77" s="12" t="s">
        <v>70</v>
      </c>
      <c r="O77" s="12" t="s">
        <v>22</v>
      </c>
      <c r="P77" s="62">
        <v>0.1</v>
      </c>
      <c r="Q77" s="62">
        <v>0.05</v>
      </c>
      <c r="R77" s="62">
        <v>0.0</v>
      </c>
      <c r="S77" s="62">
        <v>0.0</v>
      </c>
      <c r="T77" s="63">
        <v>515.0</v>
      </c>
      <c r="U77" s="62">
        <v>51.092673106174416</v>
      </c>
      <c r="V77" s="62">
        <v>28.10097020839593</v>
      </c>
      <c r="W77" s="62">
        <v>595.0</v>
      </c>
      <c r="X77" s="62">
        <v>515.0</v>
      </c>
      <c r="Y77" s="62">
        <v>0.1</v>
      </c>
      <c r="Z77" s="62">
        <v>470.0</v>
      </c>
      <c r="AA77" s="62">
        <v>0.3</v>
      </c>
      <c r="AB77" s="62">
        <v>145.0</v>
      </c>
      <c r="AC77" s="62">
        <v>170.0</v>
      </c>
      <c r="AD77" s="62">
        <v>320.0</v>
      </c>
      <c r="AE77" s="62">
        <v>350.0</v>
      </c>
      <c r="AF77" s="62">
        <v>365.0</v>
      </c>
    </row>
    <row r="78" ht="15.75" customHeight="1">
      <c r="A78" s="12" t="s">
        <v>65</v>
      </c>
      <c r="B78" s="12" t="s">
        <v>191</v>
      </c>
      <c r="C78" s="12" t="s">
        <v>197</v>
      </c>
      <c r="D78" s="61" t="s">
        <v>199</v>
      </c>
      <c r="F78" s="12" t="s">
        <v>79</v>
      </c>
      <c r="G78" s="62">
        <v>500.0</v>
      </c>
      <c r="I78" s="62">
        <v>6.0</v>
      </c>
      <c r="L78" s="62">
        <v>30.0</v>
      </c>
      <c r="N78" s="12" t="s">
        <v>70</v>
      </c>
      <c r="O78" s="12" t="s">
        <v>22</v>
      </c>
      <c r="P78" s="62">
        <v>0.1</v>
      </c>
      <c r="Q78" s="62">
        <v>0.05</v>
      </c>
      <c r="R78" s="62">
        <v>0.0</v>
      </c>
      <c r="S78" s="62">
        <v>0.0</v>
      </c>
      <c r="T78" s="63">
        <v>505.0</v>
      </c>
      <c r="U78" s="62">
        <v>50.269474795210115</v>
      </c>
      <c r="V78" s="62">
        <v>27.648211137365564</v>
      </c>
      <c r="W78" s="62">
        <v>585.0</v>
      </c>
      <c r="X78" s="62">
        <v>505.0</v>
      </c>
      <c r="Y78" s="62">
        <v>0.1</v>
      </c>
      <c r="Z78" s="62">
        <v>460.0</v>
      </c>
      <c r="AA78" s="62">
        <v>0.3</v>
      </c>
      <c r="AB78" s="62">
        <v>140.0</v>
      </c>
      <c r="AC78" s="62">
        <v>165.0</v>
      </c>
      <c r="AD78" s="62">
        <v>310.0</v>
      </c>
      <c r="AE78" s="62">
        <v>340.0</v>
      </c>
      <c r="AF78" s="62">
        <v>360.0</v>
      </c>
    </row>
    <row r="79" ht="15.75" customHeight="1">
      <c r="A79" s="12" t="s">
        <v>65</v>
      </c>
      <c r="B79" s="12" t="s">
        <v>191</v>
      </c>
      <c r="C79" s="12" t="s">
        <v>200</v>
      </c>
      <c r="D79" s="61" t="s">
        <v>201</v>
      </c>
      <c r="G79" s="62">
        <v>280.0</v>
      </c>
      <c r="H79" s="62">
        <v>250.0</v>
      </c>
      <c r="I79" s="62">
        <v>8.0</v>
      </c>
      <c r="K79" s="62">
        <v>3.0</v>
      </c>
      <c r="L79" s="62">
        <v>35.0</v>
      </c>
      <c r="N79" s="12" t="s">
        <v>80</v>
      </c>
      <c r="O79" s="12" t="s">
        <v>71</v>
      </c>
      <c r="P79" s="62">
        <v>0.1</v>
      </c>
      <c r="Q79" s="62">
        <v>0.05</v>
      </c>
      <c r="R79" s="62">
        <v>0.0</v>
      </c>
      <c r="S79" s="62">
        <v>0.0</v>
      </c>
      <c r="T79" s="63">
        <v>860.0</v>
      </c>
      <c r="U79" s="62">
        <v>85.64792751673204</v>
      </c>
      <c r="V79" s="62">
        <v>47.10636013420262</v>
      </c>
      <c r="W79" s="62">
        <v>990.0</v>
      </c>
      <c r="X79" s="62">
        <v>860.0</v>
      </c>
      <c r="Y79" s="62">
        <v>0.1</v>
      </c>
      <c r="Z79" s="62">
        <v>785.0</v>
      </c>
      <c r="AA79" s="62">
        <v>0.3</v>
      </c>
      <c r="AB79" s="62">
        <v>240.0</v>
      </c>
      <c r="AC79" s="62">
        <v>280.0</v>
      </c>
      <c r="AD79" s="62">
        <v>530.0</v>
      </c>
      <c r="AE79" s="62">
        <v>580.0</v>
      </c>
      <c r="AF79" s="62">
        <v>610.0</v>
      </c>
    </row>
    <row r="80" ht="15.75" customHeight="1">
      <c r="A80" s="12" t="s">
        <v>65</v>
      </c>
      <c r="B80" s="12" t="s">
        <v>202</v>
      </c>
      <c r="C80" s="12" t="s">
        <v>203</v>
      </c>
      <c r="D80" s="61" t="s">
        <v>204</v>
      </c>
      <c r="G80" s="62">
        <v>250.0</v>
      </c>
      <c r="H80" s="62">
        <v>250.0</v>
      </c>
      <c r="I80" s="62">
        <v>6.0</v>
      </c>
      <c r="K80" s="62">
        <v>3.0</v>
      </c>
      <c r="L80" s="62">
        <v>20.0</v>
      </c>
      <c r="N80" s="12" t="s">
        <v>70</v>
      </c>
      <c r="O80" s="12" t="s">
        <v>22</v>
      </c>
      <c r="P80" s="62">
        <v>0.1</v>
      </c>
      <c r="Q80" s="62">
        <v>0.05</v>
      </c>
      <c r="R80" s="62">
        <v>0.0</v>
      </c>
      <c r="S80" s="62">
        <v>0.0</v>
      </c>
      <c r="T80" s="63">
        <v>575.0</v>
      </c>
      <c r="U80" s="62">
        <v>57.31369105466977</v>
      </c>
      <c r="V80" s="62">
        <v>31.522530080068375</v>
      </c>
      <c r="W80" s="62">
        <v>665.0</v>
      </c>
      <c r="X80" s="62">
        <v>575.0</v>
      </c>
      <c r="Y80" s="62">
        <v>0.1</v>
      </c>
      <c r="Z80" s="62">
        <v>525.0</v>
      </c>
      <c r="AA80" s="62">
        <v>0.3</v>
      </c>
      <c r="AB80" s="62">
        <v>160.0</v>
      </c>
      <c r="AC80" s="62">
        <v>185.0</v>
      </c>
      <c r="AD80" s="62">
        <v>355.0</v>
      </c>
      <c r="AE80" s="62">
        <v>390.0</v>
      </c>
      <c r="AF80" s="62">
        <v>410.0</v>
      </c>
    </row>
    <row r="81" ht="15.75" customHeight="1">
      <c r="A81" s="12" t="s">
        <v>65</v>
      </c>
      <c r="B81" s="12" t="s">
        <v>202</v>
      </c>
      <c r="C81" s="12" t="s">
        <v>205</v>
      </c>
      <c r="D81" s="61" t="s">
        <v>206</v>
      </c>
      <c r="G81" s="62">
        <v>250.0</v>
      </c>
      <c r="H81" s="62">
        <v>60.0</v>
      </c>
      <c r="I81" s="62">
        <v>8.0</v>
      </c>
      <c r="K81" s="62">
        <v>2.0</v>
      </c>
      <c r="L81" s="62">
        <v>0.0</v>
      </c>
      <c r="N81" s="12" t="s">
        <v>70</v>
      </c>
      <c r="O81" s="12" t="s">
        <v>76</v>
      </c>
      <c r="P81" s="62">
        <v>0.1</v>
      </c>
      <c r="Q81" s="62">
        <v>0.05</v>
      </c>
      <c r="R81" s="62">
        <v>0.0</v>
      </c>
      <c r="S81" s="62">
        <v>0.0</v>
      </c>
      <c r="T81" s="63">
        <v>775.0</v>
      </c>
      <c r="U81" s="62">
        <v>77.34614467152272</v>
      </c>
      <c r="V81" s="62">
        <v>42.540379569337496</v>
      </c>
      <c r="W81" s="62">
        <v>895.0</v>
      </c>
      <c r="X81" s="62">
        <v>730.0</v>
      </c>
      <c r="Y81" s="62">
        <v>0.1</v>
      </c>
      <c r="Z81" s="62">
        <v>665.0</v>
      </c>
      <c r="AA81" s="62">
        <v>0.3</v>
      </c>
      <c r="AB81" s="62">
        <v>200.0</v>
      </c>
      <c r="AC81" s="62">
        <v>235.0</v>
      </c>
      <c r="AD81" s="62">
        <v>435.0</v>
      </c>
      <c r="AE81" s="62">
        <v>480.0</v>
      </c>
      <c r="AF81" s="62">
        <v>500.0</v>
      </c>
    </row>
    <row r="82" ht="15.75" customHeight="1">
      <c r="A82" s="12" t="s">
        <v>65</v>
      </c>
      <c r="B82" s="12" t="s">
        <v>202</v>
      </c>
      <c r="C82" s="12" t="s">
        <v>205</v>
      </c>
      <c r="D82" s="61" t="s">
        <v>207</v>
      </c>
      <c r="G82" s="62">
        <v>250.0</v>
      </c>
      <c r="H82" s="62">
        <v>60.0</v>
      </c>
      <c r="I82" s="62">
        <v>7.0</v>
      </c>
      <c r="K82" s="62">
        <v>2.0</v>
      </c>
      <c r="L82" s="62">
        <v>0.0</v>
      </c>
      <c r="N82" s="12" t="s">
        <v>70</v>
      </c>
      <c r="O82" s="12" t="s">
        <v>76</v>
      </c>
      <c r="P82" s="62">
        <v>0.1</v>
      </c>
      <c r="Q82" s="62">
        <v>0.05</v>
      </c>
      <c r="R82" s="62">
        <v>0.0</v>
      </c>
      <c r="S82" s="62">
        <v>0.0</v>
      </c>
      <c r="T82" s="63">
        <v>730.0</v>
      </c>
      <c r="U82" s="62">
        <v>72.53894655808186</v>
      </c>
      <c r="V82" s="62">
        <v>39.89642060694503</v>
      </c>
      <c r="W82" s="62">
        <v>840.0</v>
      </c>
      <c r="X82" s="62">
        <v>730.0</v>
      </c>
      <c r="Y82" s="62">
        <v>0.1</v>
      </c>
      <c r="Z82" s="62">
        <v>665.0</v>
      </c>
      <c r="AA82" s="62">
        <v>0.3</v>
      </c>
      <c r="AB82" s="62">
        <v>200.0</v>
      </c>
      <c r="AC82" s="62">
        <v>235.0</v>
      </c>
      <c r="AD82" s="62">
        <v>450.0</v>
      </c>
      <c r="AE82" s="62">
        <v>495.0</v>
      </c>
      <c r="AF82" s="62">
        <v>520.0</v>
      </c>
    </row>
    <row r="83" ht="15.75" customHeight="1">
      <c r="A83" s="12" t="s">
        <v>65</v>
      </c>
      <c r="B83" s="12" t="s">
        <v>202</v>
      </c>
      <c r="C83" s="12" t="s">
        <v>205</v>
      </c>
      <c r="D83" s="61" t="s">
        <v>208</v>
      </c>
      <c r="G83" s="62">
        <v>250.0</v>
      </c>
      <c r="H83" s="62">
        <v>60.0</v>
      </c>
      <c r="I83" s="62">
        <v>8.0</v>
      </c>
      <c r="K83" s="62">
        <v>2.0</v>
      </c>
      <c r="L83" s="62">
        <v>0.0</v>
      </c>
      <c r="N83" s="12" t="s">
        <v>70</v>
      </c>
      <c r="O83" s="12" t="s">
        <v>76</v>
      </c>
      <c r="P83" s="62">
        <v>0.1</v>
      </c>
      <c r="Q83" s="62">
        <v>0.05</v>
      </c>
      <c r="R83" s="62">
        <v>0.0</v>
      </c>
      <c r="S83" s="62">
        <v>0.0</v>
      </c>
      <c r="T83" s="63">
        <v>775.0</v>
      </c>
      <c r="U83" s="62">
        <v>77.34614467152272</v>
      </c>
      <c r="V83" s="62">
        <v>42.540379569337496</v>
      </c>
      <c r="W83" s="62">
        <v>895.0</v>
      </c>
      <c r="X83" s="62">
        <v>775.0</v>
      </c>
      <c r="Y83" s="62">
        <v>0.1</v>
      </c>
      <c r="Z83" s="62">
        <v>705.0</v>
      </c>
      <c r="AA83" s="62">
        <v>0.3</v>
      </c>
      <c r="AB83" s="62">
        <v>215.0</v>
      </c>
      <c r="AC83" s="62">
        <v>250.0</v>
      </c>
      <c r="AD83" s="62">
        <v>475.0</v>
      </c>
      <c r="AE83" s="62">
        <v>520.0</v>
      </c>
      <c r="AF83" s="62">
        <v>550.0</v>
      </c>
    </row>
    <row r="84" ht="15.75" customHeight="1">
      <c r="A84" s="12" t="s">
        <v>65</v>
      </c>
      <c r="B84" s="12" t="s">
        <v>202</v>
      </c>
      <c r="C84" s="12" t="s">
        <v>209</v>
      </c>
      <c r="D84" s="61" t="s">
        <v>210</v>
      </c>
      <c r="F84" s="12" t="s">
        <v>79</v>
      </c>
      <c r="G84" s="62">
        <v>500.0</v>
      </c>
      <c r="H84" s="62">
        <v>30.0</v>
      </c>
      <c r="I84" s="62">
        <v>6.0</v>
      </c>
      <c r="K84" s="62">
        <v>1.0</v>
      </c>
      <c r="L84" s="62">
        <v>30.0</v>
      </c>
      <c r="N84" s="12" t="s">
        <v>80</v>
      </c>
      <c r="O84" s="12" t="s">
        <v>22</v>
      </c>
      <c r="P84" s="62">
        <v>0.1</v>
      </c>
      <c r="Q84" s="62">
        <v>0.05</v>
      </c>
      <c r="R84" s="62">
        <v>0.0</v>
      </c>
      <c r="S84" s="62">
        <v>0.0</v>
      </c>
      <c r="T84" s="63">
        <v>600.0</v>
      </c>
      <c r="U84" s="62">
        <v>59.870036241660706</v>
      </c>
      <c r="V84" s="62">
        <v>32.92851993291339</v>
      </c>
      <c r="W84" s="62">
        <v>695.0</v>
      </c>
      <c r="X84" s="62">
        <v>600.0</v>
      </c>
      <c r="Y84" s="62">
        <v>0.1</v>
      </c>
      <c r="Z84" s="62">
        <v>550.0</v>
      </c>
      <c r="AA84" s="62">
        <v>0.3</v>
      </c>
      <c r="AB84" s="62">
        <v>165.0</v>
      </c>
      <c r="AC84" s="62">
        <v>195.0</v>
      </c>
      <c r="AD84" s="62">
        <v>370.0</v>
      </c>
      <c r="AE84" s="62">
        <v>410.0</v>
      </c>
      <c r="AF84" s="62">
        <v>430.0</v>
      </c>
    </row>
    <row r="85" ht="15.75" customHeight="1">
      <c r="A85" s="12" t="s">
        <v>65</v>
      </c>
      <c r="B85" s="12" t="s">
        <v>202</v>
      </c>
      <c r="C85" s="12" t="s">
        <v>209</v>
      </c>
      <c r="D85" s="61" t="s">
        <v>211</v>
      </c>
      <c r="F85" s="12" t="s">
        <v>9</v>
      </c>
      <c r="G85" s="62">
        <v>250.0</v>
      </c>
      <c r="H85" s="62">
        <v>120.0</v>
      </c>
      <c r="I85" s="62">
        <v>9.0</v>
      </c>
      <c r="K85" s="62">
        <v>2.0</v>
      </c>
      <c r="L85" s="62">
        <v>0.0</v>
      </c>
      <c r="N85" s="12" t="s">
        <v>80</v>
      </c>
      <c r="O85" s="12" t="s">
        <v>22</v>
      </c>
      <c r="P85" s="62">
        <v>0.1</v>
      </c>
      <c r="Q85" s="62">
        <v>0.05</v>
      </c>
      <c r="R85" s="62">
        <v>0.0</v>
      </c>
      <c r="S85" s="62">
        <v>0.0</v>
      </c>
      <c r="T85" s="63">
        <v>645.0</v>
      </c>
      <c r="U85" s="62">
        <v>64.1378278258863</v>
      </c>
      <c r="V85" s="62">
        <v>35.27580530423747</v>
      </c>
      <c r="W85" s="62">
        <v>745.0</v>
      </c>
      <c r="X85" s="62">
        <v>605.0</v>
      </c>
      <c r="Y85" s="62">
        <v>0.1</v>
      </c>
      <c r="Z85" s="62">
        <v>550.0</v>
      </c>
      <c r="AA85" s="62">
        <v>0.3</v>
      </c>
      <c r="AB85" s="62">
        <v>165.0</v>
      </c>
      <c r="AC85" s="62">
        <v>195.0</v>
      </c>
      <c r="AD85" s="62">
        <v>360.0</v>
      </c>
      <c r="AE85" s="62">
        <v>395.0</v>
      </c>
      <c r="AF85" s="62">
        <v>415.0</v>
      </c>
    </row>
    <row r="86" ht="15.75" customHeight="1">
      <c r="A86" s="12" t="s">
        <v>65</v>
      </c>
      <c r="B86" s="12" t="s">
        <v>202</v>
      </c>
      <c r="C86" s="12" t="s">
        <v>209</v>
      </c>
      <c r="D86" s="61" t="s">
        <v>212</v>
      </c>
      <c r="F86" s="12" t="s">
        <v>9</v>
      </c>
      <c r="G86" s="62">
        <v>250.0</v>
      </c>
      <c r="H86" s="62">
        <v>120.0</v>
      </c>
      <c r="I86" s="62">
        <v>9.0</v>
      </c>
      <c r="K86" s="62">
        <v>2.0</v>
      </c>
      <c r="L86" s="62">
        <v>0.0</v>
      </c>
      <c r="N86" s="12" t="s">
        <v>80</v>
      </c>
      <c r="O86" s="12" t="s">
        <v>22</v>
      </c>
      <c r="P86" s="62">
        <v>0.1</v>
      </c>
      <c r="Q86" s="62">
        <v>0.05</v>
      </c>
      <c r="R86" s="62">
        <v>0.0</v>
      </c>
      <c r="S86" s="62">
        <v>0.0</v>
      </c>
      <c r="T86" s="63">
        <v>645.0</v>
      </c>
      <c r="U86" s="62">
        <v>64.1378278258863</v>
      </c>
      <c r="V86" s="62">
        <v>35.27580530423747</v>
      </c>
      <c r="W86" s="62">
        <v>745.0</v>
      </c>
      <c r="X86" s="62">
        <v>645.0</v>
      </c>
      <c r="Y86" s="62">
        <v>0.1</v>
      </c>
      <c r="Z86" s="62">
        <v>590.0</v>
      </c>
      <c r="AA86" s="62">
        <v>0.3</v>
      </c>
      <c r="AB86" s="62">
        <v>180.0</v>
      </c>
      <c r="AC86" s="62">
        <v>210.0</v>
      </c>
      <c r="AD86" s="62">
        <v>400.0</v>
      </c>
      <c r="AE86" s="62">
        <v>440.0</v>
      </c>
      <c r="AF86" s="62">
        <v>460.0</v>
      </c>
    </row>
    <row r="87" ht="15.75" customHeight="1">
      <c r="A87" s="12" t="s">
        <v>65</v>
      </c>
      <c r="B87" s="12" t="s">
        <v>202</v>
      </c>
      <c r="C87" s="12" t="s">
        <v>209</v>
      </c>
      <c r="D87" s="61" t="s">
        <v>213</v>
      </c>
      <c r="F87" s="12" t="s">
        <v>9</v>
      </c>
      <c r="G87" s="62">
        <v>250.0</v>
      </c>
      <c r="H87" s="62">
        <v>120.0</v>
      </c>
      <c r="I87" s="62">
        <v>8.0</v>
      </c>
      <c r="K87" s="62">
        <v>2.0</v>
      </c>
      <c r="L87" s="62">
        <v>0.0</v>
      </c>
      <c r="N87" s="12" t="s">
        <v>80</v>
      </c>
      <c r="O87" s="12" t="s">
        <v>22</v>
      </c>
      <c r="P87" s="62">
        <v>0.1</v>
      </c>
      <c r="Q87" s="62">
        <v>0.05</v>
      </c>
      <c r="R87" s="62">
        <v>0.0</v>
      </c>
      <c r="S87" s="62">
        <v>0.0</v>
      </c>
      <c r="T87" s="63">
        <v>605.0</v>
      </c>
      <c r="U87" s="62">
        <v>60.41570273489023</v>
      </c>
      <c r="V87" s="62">
        <v>33.22863650418963</v>
      </c>
      <c r="W87" s="62">
        <v>700.0</v>
      </c>
      <c r="X87" s="62">
        <v>605.0</v>
      </c>
      <c r="Y87" s="62">
        <v>0.1</v>
      </c>
      <c r="Z87" s="62">
        <v>550.0</v>
      </c>
      <c r="AA87" s="62">
        <v>0.3</v>
      </c>
      <c r="AB87" s="62">
        <v>165.0</v>
      </c>
      <c r="AC87" s="62">
        <v>195.0</v>
      </c>
      <c r="AD87" s="62">
        <v>370.0</v>
      </c>
      <c r="AE87" s="62">
        <v>410.0</v>
      </c>
      <c r="AF87" s="62">
        <v>430.0</v>
      </c>
    </row>
    <row r="88" ht="15.75" customHeight="1">
      <c r="A88" s="12" t="s">
        <v>65</v>
      </c>
      <c r="B88" s="12" t="s">
        <v>202</v>
      </c>
      <c r="C88" s="12" t="s">
        <v>209</v>
      </c>
      <c r="D88" s="61" t="s">
        <v>214</v>
      </c>
      <c r="F88" s="12" t="s">
        <v>9</v>
      </c>
      <c r="G88" s="62">
        <v>250.0</v>
      </c>
      <c r="H88" s="62">
        <v>120.0</v>
      </c>
      <c r="I88" s="62">
        <v>9.0</v>
      </c>
      <c r="K88" s="62">
        <v>2.0</v>
      </c>
      <c r="L88" s="62">
        <v>0.0</v>
      </c>
      <c r="N88" s="12" t="s">
        <v>80</v>
      </c>
      <c r="O88" s="12" t="s">
        <v>22</v>
      </c>
      <c r="P88" s="62">
        <v>0.1</v>
      </c>
      <c r="Q88" s="62">
        <v>0.05</v>
      </c>
      <c r="R88" s="62">
        <v>0.0</v>
      </c>
      <c r="S88" s="62">
        <v>0.0</v>
      </c>
      <c r="T88" s="63">
        <v>645.0</v>
      </c>
      <c r="U88" s="62">
        <v>64.1378278258863</v>
      </c>
      <c r="V88" s="62">
        <v>35.27580530423747</v>
      </c>
      <c r="W88" s="62">
        <v>745.0</v>
      </c>
      <c r="X88" s="62">
        <v>645.0</v>
      </c>
      <c r="Y88" s="62">
        <v>0.1</v>
      </c>
      <c r="Z88" s="62">
        <v>590.0</v>
      </c>
      <c r="AA88" s="62">
        <v>0.3</v>
      </c>
      <c r="AB88" s="62">
        <v>180.0</v>
      </c>
      <c r="AC88" s="62">
        <v>210.0</v>
      </c>
      <c r="AD88" s="62">
        <v>400.0</v>
      </c>
      <c r="AE88" s="62">
        <v>440.0</v>
      </c>
      <c r="AF88" s="62">
        <v>460.0</v>
      </c>
    </row>
    <row r="89" ht="15.75" customHeight="1">
      <c r="A89" s="12" t="s">
        <v>65</v>
      </c>
      <c r="B89" s="12" t="s">
        <v>215</v>
      </c>
      <c r="C89" s="12" t="s">
        <v>216</v>
      </c>
      <c r="D89" s="61" t="s">
        <v>217</v>
      </c>
      <c r="F89" s="12" t="s">
        <v>92</v>
      </c>
      <c r="G89" s="62">
        <v>150.0</v>
      </c>
      <c r="I89" s="62">
        <v>5.0</v>
      </c>
      <c r="L89" s="62">
        <v>0.0</v>
      </c>
      <c r="N89" s="12" t="s">
        <v>70</v>
      </c>
      <c r="O89" s="12" t="s">
        <v>22</v>
      </c>
      <c r="P89" s="62">
        <v>0.1</v>
      </c>
      <c r="Q89" s="62">
        <v>0.05</v>
      </c>
      <c r="R89" s="62">
        <v>0.0</v>
      </c>
      <c r="S89" s="62">
        <v>0.0</v>
      </c>
      <c r="T89" s="63">
        <v>300.0</v>
      </c>
      <c r="U89" s="62">
        <v>29.52207590095122</v>
      </c>
      <c r="V89" s="62">
        <v>16.23714174552317</v>
      </c>
      <c r="W89" s="62">
        <v>345.0</v>
      </c>
      <c r="X89" s="62">
        <v>300.0</v>
      </c>
      <c r="Y89" s="62">
        <v>0.1</v>
      </c>
      <c r="Z89" s="62">
        <v>275.0</v>
      </c>
      <c r="AA89" s="62">
        <v>0.3</v>
      </c>
      <c r="AB89" s="62">
        <v>85.0</v>
      </c>
      <c r="AC89" s="62">
        <v>100.0</v>
      </c>
      <c r="AD89" s="62">
        <v>185.0</v>
      </c>
      <c r="AE89" s="62">
        <v>205.0</v>
      </c>
      <c r="AF89" s="62">
        <v>215.0</v>
      </c>
    </row>
    <row r="90" ht="15.75" customHeight="1">
      <c r="A90" s="12" t="s">
        <v>65</v>
      </c>
      <c r="B90" s="12" t="s">
        <v>215</v>
      </c>
      <c r="C90" s="12" t="s">
        <v>218</v>
      </c>
      <c r="D90" s="61" t="s">
        <v>219</v>
      </c>
      <c r="F90" s="12" t="s">
        <v>9</v>
      </c>
      <c r="G90" s="62">
        <v>250.0</v>
      </c>
      <c r="H90" s="62">
        <v>90.0</v>
      </c>
      <c r="I90" s="62">
        <v>8.0</v>
      </c>
      <c r="K90" s="62">
        <v>2.0</v>
      </c>
      <c r="L90" s="62">
        <v>0.0</v>
      </c>
      <c r="N90" s="12" t="s">
        <v>80</v>
      </c>
      <c r="O90" s="12" t="s">
        <v>22</v>
      </c>
      <c r="P90" s="62">
        <v>0.1</v>
      </c>
      <c r="Q90" s="62">
        <v>0.05</v>
      </c>
      <c r="R90" s="62">
        <v>0.0</v>
      </c>
      <c r="S90" s="62">
        <v>0.0</v>
      </c>
      <c r="T90" s="63">
        <v>605.0</v>
      </c>
      <c r="U90" s="62">
        <v>60.41570273489023</v>
      </c>
      <c r="V90" s="62">
        <v>33.22863650418963</v>
      </c>
      <c r="W90" s="62">
        <v>700.0</v>
      </c>
      <c r="X90" s="62">
        <v>605.0</v>
      </c>
      <c r="Y90" s="62">
        <v>0.1</v>
      </c>
      <c r="Z90" s="62">
        <v>550.0</v>
      </c>
      <c r="AA90" s="62">
        <v>0.3</v>
      </c>
      <c r="AB90" s="62">
        <v>165.0</v>
      </c>
      <c r="AC90" s="62">
        <v>195.0</v>
      </c>
      <c r="AD90" s="62">
        <v>370.0</v>
      </c>
      <c r="AE90" s="62">
        <v>410.0</v>
      </c>
      <c r="AF90" s="62">
        <v>430.0</v>
      </c>
    </row>
    <row r="91" ht="15.75" customHeight="1">
      <c r="A91" s="12" t="s">
        <v>65</v>
      </c>
      <c r="B91" s="12" t="s">
        <v>215</v>
      </c>
      <c r="C91" s="12" t="s">
        <v>218</v>
      </c>
      <c r="D91" s="61" t="s">
        <v>220</v>
      </c>
      <c r="F91" s="12" t="s">
        <v>79</v>
      </c>
      <c r="G91" s="62">
        <v>80.0</v>
      </c>
      <c r="H91" s="62">
        <v>90.0</v>
      </c>
      <c r="I91" s="62">
        <v>2.0</v>
      </c>
      <c r="K91" s="62">
        <v>2.0</v>
      </c>
      <c r="L91" s="62">
        <v>0.0</v>
      </c>
      <c r="N91" s="12" t="s">
        <v>80</v>
      </c>
      <c r="O91" s="12" t="s">
        <v>22</v>
      </c>
      <c r="P91" s="62">
        <v>0.1</v>
      </c>
      <c r="Q91" s="62">
        <v>0.05</v>
      </c>
      <c r="R91" s="62">
        <v>0.0</v>
      </c>
      <c r="S91" s="62">
        <v>0.0</v>
      </c>
      <c r="T91" s="63">
        <v>235.0</v>
      </c>
      <c r="U91" s="62">
        <v>23.345370506798385</v>
      </c>
      <c r="V91" s="62">
        <v>12.83995377873911</v>
      </c>
      <c r="W91" s="62">
        <v>270.0</v>
      </c>
      <c r="X91" s="62">
        <v>235.0</v>
      </c>
      <c r="Y91" s="62">
        <v>0.1</v>
      </c>
      <c r="Z91" s="62">
        <v>215.0</v>
      </c>
      <c r="AA91" s="62">
        <v>0.3</v>
      </c>
      <c r="AB91" s="62">
        <v>65.0</v>
      </c>
      <c r="AC91" s="62">
        <v>80.0</v>
      </c>
      <c r="AD91" s="62">
        <v>145.0</v>
      </c>
      <c r="AE91" s="62">
        <v>160.0</v>
      </c>
      <c r="AF91" s="62">
        <v>170.0</v>
      </c>
    </row>
    <row r="92" ht="15.75" customHeight="1">
      <c r="A92" s="12" t="s">
        <v>65</v>
      </c>
      <c r="B92" s="12" t="s">
        <v>215</v>
      </c>
      <c r="C92" s="12" t="s">
        <v>161</v>
      </c>
      <c r="D92" s="61" t="s">
        <v>221</v>
      </c>
      <c r="F92" s="12" t="s">
        <v>79</v>
      </c>
      <c r="G92" s="62">
        <v>500.0</v>
      </c>
      <c r="H92" s="62">
        <v>60.0</v>
      </c>
      <c r="I92" s="62">
        <v>7.0</v>
      </c>
      <c r="J92" s="62">
        <v>2.0</v>
      </c>
      <c r="K92" s="62">
        <v>1.0</v>
      </c>
      <c r="L92" s="62">
        <v>30.0</v>
      </c>
      <c r="N92" s="12" t="s">
        <v>80</v>
      </c>
      <c r="O92" s="12" t="s">
        <v>22</v>
      </c>
      <c r="P92" s="62">
        <v>0.1</v>
      </c>
      <c r="Q92" s="62">
        <v>0.05</v>
      </c>
      <c r="R92" s="62">
        <v>0.0</v>
      </c>
      <c r="S92" s="62">
        <v>0.0</v>
      </c>
      <c r="T92" s="63">
        <v>790.0</v>
      </c>
      <c r="U92" s="62">
        <v>78.77303939834405</v>
      </c>
      <c r="V92" s="62">
        <v>43.32517166908923</v>
      </c>
      <c r="W92" s="62">
        <v>910.0</v>
      </c>
      <c r="X92" s="62">
        <v>790.0</v>
      </c>
      <c r="Y92" s="62">
        <v>0.1</v>
      </c>
      <c r="Z92" s="62">
        <v>720.0</v>
      </c>
      <c r="AA92" s="62">
        <v>0.3</v>
      </c>
      <c r="AB92" s="62">
        <v>220.0</v>
      </c>
      <c r="AC92" s="62">
        <v>255.0</v>
      </c>
      <c r="AD92" s="62">
        <v>485.0</v>
      </c>
      <c r="AE92" s="62">
        <v>535.0</v>
      </c>
      <c r="AF92" s="62">
        <v>560.0</v>
      </c>
    </row>
    <row r="93" ht="15.75" customHeight="1">
      <c r="A93" s="12" t="s">
        <v>65</v>
      </c>
      <c r="B93" s="12" t="s">
        <v>215</v>
      </c>
      <c r="C93" s="12" t="s">
        <v>161</v>
      </c>
      <c r="D93" s="61" t="s">
        <v>222</v>
      </c>
      <c r="F93" s="12" t="s">
        <v>79</v>
      </c>
      <c r="G93" s="62">
        <v>500.0</v>
      </c>
      <c r="H93" s="62">
        <v>30.0</v>
      </c>
      <c r="I93" s="62">
        <v>7.0</v>
      </c>
      <c r="J93" s="62">
        <v>2.0</v>
      </c>
      <c r="K93" s="62">
        <v>1.0</v>
      </c>
      <c r="L93" s="62">
        <v>30.0</v>
      </c>
      <c r="N93" s="12" t="s">
        <v>80</v>
      </c>
      <c r="O93" s="12" t="s">
        <v>71</v>
      </c>
      <c r="P93" s="62">
        <v>0.1</v>
      </c>
      <c r="Q93" s="62">
        <v>0.05</v>
      </c>
      <c r="R93" s="62">
        <v>0.0</v>
      </c>
      <c r="S93" s="62">
        <v>0.0</v>
      </c>
      <c r="T93" s="63">
        <v>915.0</v>
      </c>
      <c r="U93" s="62">
        <v>91.31081105687537</v>
      </c>
      <c r="V93" s="62">
        <v>50.22094608128145</v>
      </c>
      <c r="W93" s="62">
        <v>1055.0</v>
      </c>
      <c r="X93" s="62">
        <v>915.0</v>
      </c>
      <c r="Y93" s="62">
        <v>0.1</v>
      </c>
      <c r="Z93" s="62">
        <v>835.0</v>
      </c>
      <c r="AA93" s="62">
        <v>0.3</v>
      </c>
      <c r="AB93" s="62">
        <v>255.0</v>
      </c>
      <c r="AC93" s="62">
        <v>295.0</v>
      </c>
      <c r="AD93" s="62">
        <v>565.0</v>
      </c>
      <c r="AE93" s="62">
        <v>620.0</v>
      </c>
      <c r="AF93" s="62">
        <v>650.0</v>
      </c>
    </row>
    <row r="94" ht="15.75" customHeight="1">
      <c r="A94" s="12" t="s">
        <v>65</v>
      </c>
      <c r="B94" s="12" t="s">
        <v>215</v>
      </c>
      <c r="C94" s="12" t="s">
        <v>161</v>
      </c>
      <c r="D94" s="61" t="s">
        <v>223</v>
      </c>
      <c r="F94" s="12" t="s">
        <v>9</v>
      </c>
      <c r="G94" s="62">
        <v>250.0</v>
      </c>
      <c r="H94" s="62">
        <v>80.0</v>
      </c>
      <c r="I94" s="62">
        <v>8.0</v>
      </c>
      <c r="K94" s="62">
        <v>2.0</v>
      </c>
      <c r="L94" s="62">
        <v>0.0</v>
      </c>
      <c r="N94" s="12" t="s">
        <v>80</v>
      </c>
      <c r="O94" s="12" t="s">
        <v>71</v>
      </c>
      <c r="P94" s="62">
        <v>0.1</v>
      </c>
      <c r="Q94" s="62">
        <v>0.05</v>
      </c>
      <c r="R94" s="62">
        <v>0.0</v>
      </c>
      <c r="S94" s="62">
        <v>0.0</v>
      </c>
      <c r="T94" s="63">
        <v>705.0</v>
      </c>
      <c r="U94" s="62">
        <v>70.43412086457674</v>
      </c>
      <c r="V94" s="62">
        <v>38.73876647551721</v>
      </c>
      <c r="W94" s="62">
        <v>815.0</v>
      </c>
      <c r="X94" s="62">
        <v>705.0</v>
      </c>
      <c r="Y94" s="62">
        <v>0.1</v>
      </c>
      <c r="Z94" s="62">
        <v>645.0</v>
      </c>
      <c r="AA94" s="62">
        <v>0.3</v>
      </c>
      <c r="AB94" s="62">
        <v>195.0</v>
      </c>
      <c r="AC94" s="62">
        <v>230.0</v>
      </c>
      <c r="AD94" s="62">
        <v>435.0</v>
      </c>
      <c r="AE94" s="62">
        <v>480.0</v>
      </c>
      <c r="AF94" s="62">
        <v>505.0</v>
      </c>
    </row>
    <row r="95" ht="15.75" customHeight="1">
      <c r="A95" s="12" t="s">
        <v>65</v>
      </c>
      <c r="B95" s="12" t="s">
        <v>215</v>
      </c>
      <c r="C95" s="12" t="s">
        <v>218</v>
      </c>
      <c r="D95" s="61" t="s">
        <v>224</v>
      </c>
      <c r="F95" s="12" t="s">
        <v>79</v>
      </c>
      <c r="G95" s="62">
        <v>500.0</v>
      </c>
      <c r="H95" s="62">
        <v>45.0</v>
      </c>
      <c r="I95" s="62">
        <v>6.0</v>
      </c>
      <c r="K95" s="62">
        <v>2.0</v>
      </c>
      <c r="L95" s="62">
        <v>27.0</v>
      </c>
      <c r="N95" s="12" t="s">
        <v>80</v>
      </c>
      <c r="O95" s="12" t="s">
        <v>22</v>
      </c>
      <c r="P95" s="62">
        <v>0.1</v>
      </c>
      <c r="Q95" s="62">
        <v>0.05</v>
      </c>
      <c r="R95" s="62">
        <v>0.0</v>
      </c>
      <c r="S95" s="62">
        <v>0.0</v>
      </c>
      <c r="T95" s="63">
        <v>645.0</v>
      </c>
      <c r="U95" s="62">
        <v>64.38615399302208</v>
      </c>
      <c r="V95" s="62">
        <v>35.41238469616214</v>
      </c>
      <c r="W95" s="62">
        <v>745.0</v>
      </c>
      <c r="X95" s="62">
        <v>645.0</v>
      </c>
      <c r="Y95" s="62">
        <v>0.1</v>
      </c>
      <c r="Z95" s="62">
        <v>590.0</v>
      </c>
      <c r="AA95" s="62">
        <v>0.3</v>
      </c>
      <c r="AB95" s="62">
        <v>180.0</v>
      </c>
      <c r="AC95" s="62">
        <v>210.0</v>
      </c>
      <c r="AD95" s="62">
        <v>400.0</v>
      </c>
      <c r="AE95" s="62">
        <v>440.0</v>
      </c>
      <c r="AF95" s="62">
        <v>460.0</v>
      </c>
    </row>
    <row r="96" ht="15.75" customHeight="1">
      <c r="A96" s="12" t="s">
        <v>65</v>
      </c>
      <c r="B96" s="12" t="s">
        <v>215</v>
      </c>
      <c r="C96" s="12" t="s">
        <v>218</v>
      </c>
      <c r="D96" s="61" t="s">
        <v>225</v>
      </c>
      <c r="F96" s="12" t="s">
        <v>79</v>
      </c>
      <c r="G96" s="62">
        <v>150.0</v>
      </c>
      <c r="H96" s="62">
        <v>85.0</v>
      </c>
      <c r="I96" s="62">
        <v>3.0</v>
      </c>
      <c r="K96" s="62">
        <v>2.0</v>
      </c>
      <c r="L96" s="62">
        <v>0.0</v>
      </c>
      <c r="N96" s="12" t="s">
        <v>80</v>
      </c>
      <c r="O96" s="12" t="s">
        <v>22</v>
      </c>
      <c r="P96" s="62">
        <v>0.1</v>
      </c>
      <c r="Q96" s="62">
        <v>0.05</v>
      </c>
      <c r="R96" s="62">
        <v>0.0</v>
      </c>
      <c r="S96" s="62">
        <v>0.0</v>
      </c>
      <c r="T96" s="63">
        <v>295.0</v>
      </c>
      <c r="U96" s="62">
        <v>29.475480135877394</v>
      </c>
      <c r="V96" s="62">
        <v>16.211514074732566</v>
      </c>
      <c r="W96" s="62">
        <v>345.0</v>
      </c>
      <c r="X96" s="62">
        <v>295.0</v>
      </c>
      <c r="Y96" s="62">
        <v>0.1</v>
      </c>
      <c r="Z96" s="62">
        <v>270.0</v>
      </c>
      <c r="AA96" s="62">
        <v>0.3</v>
      </c>
      <c r="AB96" s="62">
        <v>85.0</v>
      </c>
      <c r="AC96" s="62">
        <v>100.0</v>
      </c>
      <c r="AD96" s="62">
        <v>185.0</v>
      </c>
      <c r="AE96" s="62">
        <v>200.0</v>
      </c>
      <c r="AF96" s="62">
        <v>210.0</v>
      </c>
    </row>
    <row r="97" ht="15.75" customHeight="1">
      <c r="A97" s="12" t="s">
        <v>226</v>
      </c>
      <c r="B97" s="12" t="s">
        <v>215</v>
      </c>
      <c r="C97" s="12" t="s">
        <v>227</v>
      </c>
      <c r="D97" s="61" t="s">
        <v>228</v>
      </c>
      <c r="F97" s="12" t="s">
        <v>9</v>
      </c>
      <c r="G97" s="62">
        <v>250.0</v>
      </c>
      <c r="I97" s="62">
        <v>9.0</v>
      </c>
      <c r="L97" s="62">
        <v>0.0</v>
      </c>
      <c r="N97" s="12" t="s">
        <v>20</v>
      </c>
      <c r="O97" s="12" t="s">
        <v>71</v>
      </c>
      <c r="P97" s="62">
        <v>0.1</v>
      </c>
      <c r="Q97" s="62">
        <v>0.05</v>
      </c>
      <c r="R97" s="62">
        <v>0.0</v>
      </c>
      <c r="S97" s="62">
        <v>0.0</v>
      </c>
      <c r="T97" s="63">
        <v>525.0</v>
      </c>
      <c r="U97" s="62">
        <v>52.09067876411806</v>
      </c>
      <c r="V97" s="62">
        <v>28.64987332026493</v>
      </c>
      <c r="W97" s="62">
        <v>605.0</v>
      </c>
      <c r="X97" s="62">
        <v>490.0</v>
      </c>
      <c r="Y97" s="62">
        <v>0.1</v>
      </c>
      <c r="Z97" s="62">
        <v>450.0</v>
      </c>
      <c r="AA97" s="62">
        <v>0.3</v>
      </c>
      <c r="AB97" s="62">
        <v>135.0</v>
      </c>
      <c r="AC97" s="62">
        <v>160.0</v>
      </c>
      <c r="AD97" s="62">
        <v>295.0</v>
      </c>
      <c r="AE97" s="62">
        <v>325.0</v>
      </c>
      <c r="AF97" s="62">
        <v>340.0</v>
      </c>
    </row>
    <row r="98" ht="15.75" customHeight="1">
      <c r="A98" s="12" t="s">
        <v>65</v>
      </c>
      <c r="B98" s="12" t="s">
        <v>229</v>
      </c>
      <c r="C98" s="12" t="s">
        <v>230</v>
      </c>
      <c r="D98" s="61" t="s">
        <v>231</v>
      </c>
      <c r="F98" s="12" t="s">
        <v>9</v>
      </c>
      <c r="G98" s="62">
        <v>250.0</v>
      </c>
      <c r="H98" s="62">
        <v>140.0</v>
      </c>
      <c r="I98" s="62">
        <v>8.0</v>
      </c>
      <c r="K98" s="62">
        <v>2.0</v>
      </c>
      <c r="L98" s="62">
        <v>0.0</v>
      </c>
      <c r="N98" s="12" t="s">
        <v>70</v>
      </c>
      <c r="O98" s="12" t="s">
        <v>22</v>
      </c>
      <c r="P98" s="62">
        <v>0.1</v>
      </c>
      <c r="Q98" s="62">
        <v>0.05</v>
      </c>
      <c r="R98" s="62">
        <v>0.0</v>
      </c>
      <c r="S98" s="62">
        <v>0.0</v>
      </c>
      <c r="T98" s="63">
        <v>565.0</v>
      </c>
      <c r="U98" s="62">
        <v>56.108044142328595</v>
      </c>
      <c r="V98" s="62">
        <v>30.859424278280727</v>
      </c>
      <c r="W98" s="62">
        <v>650.0</v>
      </c>
      <c r="X98" s="62">
        <v>565.0</v>
      </c>
      <c r="Y98" s="62">
        <v>0.1</v>
      </c>
      <c r="Z98" s="62">
        <v>515.0</v>
      </c>
      <c r="AA98" s="62">
        <v>0.3</v>
      </c>
      <c r="AB98" s="62">
        <v>155.0</v>
      </c>
      <c r="AC98" s="62">
        <v>180.0</v>
      </c>
      <c r="AD98" s="62">
        <v>350.0</v>
      </c>
      <c r="AE98" s="62">
        <v>385.0</v>
      </c>
      <c r="AF98" s="62">
        <v>400.0</v>
      </c>
    </row>
    <row r="99" ht="15.75" customHeight="1">
      <c r="A99" s="12" t="s">
        <v>65</v>
      </c>
      <c r="B99" s="12" t="s">
        <v>229</v>
      </c>
      <c r="C99" s="12" t="s">
        <v>232</v>
      </c>
      <c r="D99" s="61" t="s">
        <v>233</v>
      </c>
      <c r="F99" s="12" t="s">
        <v>9</v>
      </c>
      <c r="G99" s="62">
        <v>250.0</v>
      </c>
      <c r="H99" s="62">
        <v>80.0</v>
      </c>
      <c r="I99" s="62">
        <v>8.0</v>
      </c>
      <c r="K99" s="62">
        <v>2.0</v>
      </c>
      <c r="L99" s="62">
        <v>0.0</v>
      </c>
      <c r="N99" s="12" t="s">
        <v>80</v>
      </c>
      <c r="O99" s="12" t="s">
        <v>71</v>
      </c>
      <c r="P99" s="62">
        <v>0.1</v>
      </c>
      <c r="Q99" s="62">
        <v>0.05</v>
      </c>
      <c r="R99" s="62">
        <v>0.0</v>
      </c>
      <c r="S99" s="62">
        <v>0.0</v>
      </c>
      <c r="T99" s="63">
        <v>705.0</v>
      </c>
      <c r="U99" s="62">
        <v>70.43412086457674</v>
      </c>
      <c r="V99" s="62">
        <v>38.73876647551721</v>
      </c>
      <c r="W99" s="62">
        <v>815.0</v>
      </c>
      <c r="X99" s="62">
        <v>705.0</v>
      </c>
      <c r="Y99" s="62">
        <v>0.1</v>
      </c>
      <c r="Z99" s="62">
        <v>645.0</v>
      </c>
      <c r="AA99" s="62">
        <v>0.3</v>
      </c>
      <c r="AB99" s="62">
        <v>195.0</v>
      </c>
      <c r="AC99" s="62">
        <v>230.0</v>
      </c>
      <c r="AD99" s="62">
        <v>435.0</v>
      </c>
      <c r="AE99" s="62">
        <v>480.0</v>
      </c>
      <c r="AF99" s="62">
        <v>505.0</v>
      </c>
    </row>
    <row r="100" ht="15.75" customHeight="1">
      <c r="A100" s="12" t="s">
        <v>65</v>
      </c>
      <c r="B100" s="12" t="s">
        <v>229</v>
      </c>
      <c r="C100" s="12" t="s">
        <v>205</v>
      </c>
      <c r="D100" s="61" t="s">
        <v>234</v>
      </c>
      <c r="F100" s="12" t="s">
        <v>79</v>
      </c>
      <c r="G100" s="62">
        <v>60.0</v>
      </c>
      <c r="I100" s="62">
        <v>2.0</v>
      </c>
      <c r="L100" s="62">
        <v>0.0</v>
      </c>
      <c r="N100" s="12" t="s">
        <v>80</v>
      </c>
      <c r="O100" s="12" t="s">
        <v>76</v>
      </c>
      <c r="P100" s="62">
        <v>0.1</v>
      </c>
      <c r="Q100" s="62">
        <v>0.05</v>
      </c>
      <c r="R100" s="62">
        <v>0.0</v>
      </c>
      <c r="S100" s="62">
        <v>0.0</v>
      </c>
      <c r="T100" s="63">
        <v>185.0</v>
      </c>
      <c r="U100" s="62">
        <v>18.40246999292854</v>
      </c>
      <c r="V100" s="62">
        <v>10.121358496110696</v>
      </c>
      <c r="W100" s="62">
        <v>215.0</v>
      </c>
      <c r="X100" s="62">
        <v>185.0</v>
      </c>
      <c r="Y100" s="62">
        <v>0.1</v>
      </c>
      <c r="Z100" s="62">
        <v>170.0</v>
      </c>
      <c r="AA100" s="62">
        <v>0.3</v>
      </c>
      <c r="AB100" s="62">
        <v>55.0</v>
      </c>
      <c r="AC100" s="62">
        <v>65.0</v>
      </c>
      <c r="AD100" s="62">
        <v>115.0</v>
      </c>
      <c r="AE100" s="62">
        <v>130.0</v>
      </c>
      <c r="AF100" s="62">
        <v>135.0</v>
      </c>
    </row>
    <row r="101" ht="15.75" customHeight="1">
      <c r="A101" s="12" t="s">
        <v>65</v>
      </c>
      <c r="B101" s="12" t="s">
        <v>229</v>
      </c>
      <c r="C101" s="12" t="s">
        <v>205</v>
      </c>
      <c r="D101" s="61" t="s">
        <v>235</v>
      </c>
      <c r="F101" s="12" t="s">
        <v>79</v>
      </c>
      <c r="G101" s="62">
        <v>60.0</v>
      </c>
      <c r="I101" s="62">
        <v>2.0</v>
      </c>
      <c r="L101" s="62">
        <v>0.0</v>
      </c>
      <c r="N101" s="12" t="s">
        <v>80</v>
      </c>
      <c r="O101" s="12" t="s">
        <v>22</v>
      </c>
      <c r="P101" s="62">
        <v>0.1</v>
      </c>
      <c r="Q101" s="62">
        <v>0.05</v>
      </c>
      <c r="R101" s="62">
        <v>0.0</v>
      </c>
      <c r="S101" s="62">
        <v>0.0</v>
      </c>
      <c r="T101" s="63">
        <v>135.0</v>
      </c>
      <c r="U101" s="62">
        <v>13.035082911657717</v>
      </c>
      <c r="V101" s="62">
        <v>7.169295601411744</v>
      </c>
      <c r="W101" s="62">
        <v>155.0</v>
      </c>
      <c r="X101" s="62">
        <v>135.0</v>
      </c>
      <c r="Y101" s="62">
        <v>0.1</v>
      </c>
      <c r="Z101" s="62">
        <v>125.0</v>
      </c>
      <c r="AA101" s="62">
        <v>0.3</v>
      </c>
      <c r="AB101" s="62">
        <v>40.0</v>
      </c>
      <c r="AC101" s="62">
        <v>50.0</v>
      </c>
      <c r="AD101" s="62">
        <v>85.0</v>
      </c>
      <c r="AE101" s="62">
        <v>95.0</v>
      </c>
      <c r="AF101" s="62">
        <v>100.0</v>
      </c>
    </row>
    <row r="102" ht="15.75" customHeight="1">
      <c r="A102" s="12" t="s">
        <v>65</v>
      </c>
      <c r="B102" s="12" t="s">
        <v>229</v>
      </c>
      <c r="C102" s="12" t="s">
        <v>205</v>
      </c>
      <c r="D102" s="61" t="s">
        <v>236</v>
      </c>
      <c r="F102" s="12" t="s">
        <v>79</v>
      </c>
      <c r="G102" s="62">
        <v>500.0</v>
      </c>
      <c r="H102" s="62">
        <v>60.0</v>
      </c>
      <c r="I102" s="62">
        <v>6.0</v>
      </c>
      <c r="J102" s="62">
        <v>1.0</v>
      </c>
      <c r="K102" s="62">
        <v>1.0</v>
      </c>
      <c r="L102" s="62">
        <v>27.0</v>
      </c>
      <c r="N102" s="12" t="s">
        <v>80</v>
      </c>
      <c r="O102" s="12" t="s">
        <v>22</v>
      </c>
      <c r="P102" s="62">
        <v>0.1</v>
      </c>
      <c r="Q102" s="62">
        <v>0.05</v>
      </c>
      <c r="R102" s="62">
        <v>0.0</v>
      </c>
      <c r="S102" s="62">
        <v>0.0</v>
      </c>
      <c r="T102" s="63">
        <v>675.0</v>
      </c>
      <c r="U102" s="62">
        <v>67.43535399302208</v>
      </c>
      <c r="V102" s="62">
        <v>37.08944469616215</v>
      </c>
      <c r="W102" s="62">
        <v>780.0</v>
      </c>
      <c r="X102" s="62">
        <v>675.0</v>
      </c>
      <c r="Y102" s="62">
        <v>0.1</v>
      </c>
      <c r="Z102" s="62">
        <v>615.0</v>
      </c>
      <c r="AA102" s="62">
        <v>0.3</v>
      </c>
      <c r="AB102" s="62">
        <v>185.0</v>
      </c>
      <c r="AC102" s="62">
        <v>215.0</v>
      </c>
      <c r="AD102" s="62">
        <v>415.0</v>
      </c>
      <c r="AE102" s="62">
        <v>455.0</v>
      </c>
      <c r="AF102" s="62">
        <v>480.0</v>
      </c>
    </row>
    <row r="103" ht="15.75" customHeight="1">
      <c r="A103" s="12" t="s">
        <v>65</v>
      </c>
      <c r="B103" s="12" t="s">
        <v>229</v>
      </c>
      <c r="C103" s="12" t="s">
        <v>237</v>
      </c>
      <c r="D103" s="61" t="s">
        <v>238</v>
      </c>
      <c r="F103" s="12" t="s">
        <v>92</v>
      </c>
      <c r="G103" s="62">
        <v>300.0</v>
      </c>
      <c r="I103" s="62">
        <v>5.0</v>
      </c>
      <c r="L103" s="62">
        <v>0.0</v>
      </c>
      <c r="N103" s="12" t="s">
        <v>20</v>
      </c>
      <c r="O103" s="12" t="s">
        <v>22</v>
      </c>
      <c r="P103" s="62">
        <v>0.1</v>
      </c>
      <c r="Q103" s="62">
        <v>0.05</v>
      </c>
      <c r="R103" s="62">
        <v>0.0</v>
      </c>
      <c r="S103" s="62">
        <v>0.0</v>
      </c>
      <c r="T103" s="63">
        <v>355.0</v>
      </c>
      <c r="U103" s="62">
        <v>35.41808124224314</v>
      </c>
      <c r="V103" s="62">
        <v>19.479944683233725</v>
      </c>
      <c r="W103" s="62">
        <v>410.0</v>
      </c>
      <c r="X103" s="62">
        <v>480.0</v>
      </c>
      <c r="Z103" s="62">
        <v>480.0</v>
      </c>
      <c r="AA103" s="62">
        <v>0.3</v>
      </c>
      <c r="AB103" s="62">
        <v>145.0</v>
      </c>
      <c r="AC103" s="62">
        <v>170.0</v>
      </c>
      <c r="AD103" s="62">
        <v>375.0</v>
      </c>
      <c r="AE103" s="62">
        <v>415.0</v>
      </c>
      <c r="AF103" s="62">
        <v>435.0</v>
      </c>
    </row>
    <row r="104" ht="15.75" customHeight="1">
      <c r="A104" s="12" t="s">
        <v>65</v>
      </c>
      <c r="B104" s="12" t="s">
        <v>229</v>
      </c>
      <c r="C104" s="12" t="s">
        <v>237</v>
      </c>
      <c r="D104" s="61" t="s">
        <v>239</v>
      </c>
      <c r="F104" s="12" t="s">
        <v>9</v>
      </c>
      <c r="G104" s="62">
        <v>300.0</v>
      </c>
      <c r="I104" s="62">
        <v>9.0</v>
      </c>
      <c r="L104" s="62">
        <v>0.0</v>
      </c>
      <c r="N104" s="12" t="s">
        <v>20</v>
      </c>
      <c r="O104" s="12" t="s">
        <v>22</v>
      </c>
      <c r="P104" s="62">
        <v>0.1</v>
      </c>
      <c r="Q104" s="62">
        <v>0.05</v>
      </c>
      <c r="R104" s="62">
        <v>0.0</v>
      </c>
      <c r="S104" s="62">
        <v>0.0</v>
      </c>
      <c r="T104" s="63">
        <v>480.0</v>
      </c>
      <c r="U104" s="62">
        <v>47.52141178673509</v>
      </c>
      <c r="V104" s="62">
        <v>26.136776482704295</v>
      </c>
      <c r="W104" s="62">
        <v>550.0</v>
      </c>
      <c r="X104" s="62">
        <v>480.0</v>
      </c>
      <c r="Z104" s="62">
        <v>480.0</v>
      </c>
      <c r="AA104" s="62">
        <v>0.3</v>
      </c>
      <c r="AB104" s="62">
        <v>145.0</v>
      </c>
      <c r="AC104" s="62">
        <v>170.0</v>
      </c>
      <c r="AD104" s="62">
        <v>340.0</v>
      </c>
      <c r="AE104" s="62">
        <v>370.0</v>
      </c>
      <c r="AF104" s="62">
        <v>390.0</v>
      </c>
    </row>
    <row r="105" ht="15.75" customHeight="1">
      <c r="A105" s="12" t="s">
        <v>65</v>
      </c>
      <c r="B105" s="12" t="s">
        <v>229</v>
      </c>
      <c r="C105" s="12" t="s">
        <v>237</v>
      </c>
      <c r="D105" s="61" t="s">
        <v>240</v>
      </c>
      <c r="F105" s="12" t="s">
        <v>79</v>
      </c>
      <c r="G105" s="62">
        <v>150.0</v>
      </c>
      <c r="I105" s="62">
        <v>3.0</v>
      </c>
      <c r="J105" s="62">
        <v>5.0</v>
      </c>
      <c r="L105" s="62">
        <v>0.0</v>
      </c>
      <c r="N105" s="12" t="s">
        <v>20</v>
      </c>
      <c r="O105" s="12" t="s">
        <v>22</v>
      </c>
      <c r="P105" s="62">
        <v>0.1</v>
      </c>
      <c r="Q105" s="62">
        <v>0.05</v>
      </c>
      <c r="R105" s="62">
        <v>0.0</v>
      </c>
      <c r="S105" s="62">
        <v>0.0</v>
      </c>
      <c r="T105" s="63">
        <v>455.0</v>
      </c>
      <c r="U105" s="62">
        <v>45.463908565060905</v>
      </c>
      <c r="V105" s="62">
        <v>25.0051497107835</v>
      </c>
      <c r="W105" s="62">
        <v>530.0</v>
      </c>
      <c r="X105" s="62">
        <v>455.0</v>
      </c>
      <c r="Z105" s="62">
        <v>455.0</v>
      </c>
      <c r="AA105" s="62">
        <v>0.3</v>
      </c>
      <c r="AB105" s="62">
        <v>140.0</v>
      </c>
      <c r="AC105" s="62">
        <v>165.0</v>
      </c>
      <c r="AD105" s="62">
        <v>320.0</v>
      </c>
      <c r="AE105" s="62">
        <v>355.0</v>
      </c>
      <c r="AF105" s="62">
        <v>370.0</v>
      </c>
    </row>
    <row r="106" ht="15.75" customHeight="1">
      <c r="A106" s="12" t="s">
        <v>65</v>
      </c>
      <c r="B106" s="12" t="s">
        <v>241</v>
      </c>
      <c r="C106" s="12" t="s">
        <v>242</v>
      </c>
      <c r="D106" s="61" t="s">
        <v>243</v>
      </c>
      <c r="F106" s="12" t="s">
        <v>79</v>
      </c>
      <c r="G106" s="62">
        <v>150.0</v>
      </c>
      <c r="H106" s="62">
        <v>50.0</v>
      </c>
      <c r="I106" s="62">
        <v>3.0</v>
      </c>
      <c r="K106" s="62">
        <v>1.0</v>
      </c>
      <c r="L106" s="62">
        <v>0.0</v>
      </c>
      <c r="N106" s="12" t="s">
        <v>70</v>
      </c>
      <c r="O106" s="12" t="s">
        <v>22</v>
      </c>
      <c r="P106" s="62">
        <v>0.1</v>
      </c>
      <c r="Q106" s="62">
        <v>0.05</v>
      </c>
      <c r="R106" s="62">
        <v>0.0</v>
      </c>
      <c r="S106" s="62">
        <v>0.0</v>
      </c>
      <c r="T106" s="63">
        <v>230.0</v>
      </c>
      <c r="U106" s="62">
        <v>22.8828086416544</v>
      </c>
      <c r="V106" s="62">
        <v>12.58554475290992</v>
      </c>
      <c r="W106" s="62">
        <v>265.0</v>
      </c>
      <c r="X106" s="62">
        <v>230.0</v>
      </c>
      <c r="Y106" s="62">
        <v>0.1</v>
      </c>
      <c r="Z106" s="62">
        <v>210.0</v>
      </c>
      <c r="AA106" s="62">
        <v>0.3</v>
      </c>
      <c r="AB106" s="62">
        <v>65.0</v>
      </c>
      <c r="AC106" s="62">
        <v>80.0</v>
      </c>
      <c r="AD106" s="62">
        <v>145.0</v>
      </c>
      <c r="AE106" s="62">
        <v>160.0</v>
      </c>
      <c r="AF106" s="62">
        <v>165.0</v>
      </c>
    </row>
    <row r="107" ht="15.75" customHeight="1">
      <c r="A107" s="12" t="s">
        <v>65</v>
      </c>
      <c r="B107" s="12" t="s">
        <v>241</v>
      </c>
      <c r="C107" s="12" t="s">
        <v>242</v>
      </c>
      <c r="D107" s="61" t="s">
        <v>244</v>
      </c>
      <c r="F107" s="12" t="s">
        <v>79</v>
      </c>
      <c r="G107" s="62">
        <v>500.0</v>
      </c>
      <c r="H107" s="62">
        <v>50.0</v>
      </c>
      <c r="I107" s="62">
        <v>6.0</v>
      </c>
      <c r="K107" s="62">
        <v>1.0</v>
      </c>
      <c r="L107" s="62">
        <v>27.0</v>
      </c>
      <c r="N107" s="12" t="s">
        <v>70</v>
      </c>
      <c r="O107" s="12" t="s">
        <v>22</v>
      </c>
      <c r="P107" s="62">
        <v>0.1</v>
      </c>
      <c r="Q107" s="62">
        <v>0.05</v>
      </c>
      <c r="R107" s="62">
        <v>0.0</v>
      </c>
      <c r="S107" s="62">
        <v>0.0</v>
      </c>
      <c r="T107" s="63">
        <v>550.0</v>
      </c>
      <c r="U107" s="62">
        <v>54.820018163963404</v>
      </c>
      <c r="V107" s="62">
        <v>30.151009990179872</v>
      </c>
      <c r="W107" s="62">
        <v>635.0</v>
      </c>
      <c r="X107" s="62">
        <v>550.0</v>
      </c>
      <c r="Y107" s="62">
        <v>0.1</v>
      </c>
      <c r="Z107" s="62">
        <v>500.0</v>
      </c>
      <c r="AA107" s="62">
        <v>0.3</v>
      </c>
      <c r="AB107" s="62">
        <v>150.0</v>
      </c>
      <c r="AC107" s="62">
        <v>175.0</v>
      </c>
      <c r="AD107" s="62">
        <v>335.0</v>
      </c>
      <c r="AE107" s="62">
        <v>370.0</v>
      </c>
      <c r="AF107" s="62">
        <v>390.0</v>
      </c>
    </row>
    <row r="108" ht="15.75" customHeight="1">
      <c r="A108" s="12" t="s">
        <v>65</v>
      </c>
      <c r="B108" s="12" t="s">
        <v>241</v>
      </c>
      <c r="C108" s="12" t="s">
        <v>245</v>
      </c>
      <c r="D108" s="61" t="s">
        <v>246</v>
      </c>
      <c r="F108" s="12" t="s">
        <v>9</v>
      </c>
      <c r="G108" s="62">
        <v>250.0</v>
      </c>
      <c r="H108" s="62">
        <v>150.0</v>
      </c>
      <c r="I108" s="62">
        <v>8.0</v>
      </c>
      <c r="J108" s="62">
        <v>3.0</v>
      </c>
      <c r="L108" s="62">
        <v>0.0</v>
      </c>
      <c r="N108" s="12" t="s">
        <v>80</v>
      </c>
      <c r="O108" s="12" t="s">
        <v>22</v>
      </c>
      <c r="P108" s="62">
        <v>0.1</v>
      </c>
      <c r="Q108" s="62">
        <v>0.05</v>
      </c>
      <c r="R108" s="62">
        <v>0.0</v>
      </c>
      <c r="S108" s="62">
        <v>0.0</v>
      </c>
      <c r="T108" s="63">
        <v>805.0</v>
      </c>
      <c r="U108" s="62">
        <v>80.22292465987978</v>
      </c>
      <c r="V108" s="62">
        <v>44.122608562933884</v>
      </c>
      <c r="W108" s="62">
        <v>930.0</v>
      </c>
      <c r="X108" s="62">
        <v>805.0</v>
      </c>
      <c r="Y108" s="62">
        <v>0.1</v>
      </c>
      <c r="Z108" s="62">
        <v>735.0</v>
      </c>
      <c r="AA108" s="62">
        <v>0.3</v>
      </c>
      <c r="AB108" s="62">
        <v>225.0</v>
      </c>
      <c r="AC108" s="62">
        <v>260.0</v>
      </c>
      <c r="AD108" s="62">
        <v>495.0</v>
      </c>
      <c r="AE108" s="62">
        <v>545.0</v>
      </c>
      <c r="AF108" s="62">
        <v>570.0</v>
      </c>
    </row>
    <row r="109" ht="15.75" customHeight="1">
      <c r="A109" s="12" t="s">
        <v>247</v>
      </c>
      <c r="B109" s="12" t="s">
        <v>241</v>
      </c>
      <c r="C109" s="12" t="s">
        <v>245</v>
      </c>
      <c r="D109" s="61" t="s">
        <v>248</v>
      </c>
      <c r="F109" s="12" t="s">
        <v>79</v>
      </c>
      <c r="G109" s="62">
        <v>50.0</v>
      </c>
      <c r="H109" s="62">
        <v>0.0</v>
      </c>
      <c r="I109" s="62">
        <v>0.5</v>
      </c>
      <c r="L109" s="62">
        <v>0.0</v>
      </c>
      <c r="N109" s="12" t="s">
        <v>80</v>
      </c>
      <c r="O109" s="12" t="s">
        <v>22</v>
      </c>
      <c r="P109" s="62">
        <v>0.1</v>
      </c>
      <c r="Q109" s="62">
        <v>0.05</v>
      </c>
      <c r="R109" s="62">
        <v>0.0</v>
      </c>
      <c r="S109" s="62">
        <v>0.0</v>
      </c>
      <c r="T109" s="63">
        <v>70.0</v>
      </c>
      <c r="U109" s="62">
        <v>6.688207012095029</v>
      </c>
      <c r="V109" s="62">
        <v>3.678513856652266</v>
      </c>
      <c r="W109" s="62">
        <v>80.0</v>
      </c>
      <c r="X109" s="62">
        <v>70.0</v>
      </c>
      <c r="Y109" s="62">
        <v>0.1</v>
      </c>
      <c r="Z109" s="62">
        <v>65.0</v>
      </c>
      <c r="AA109" s="62">
        <v>0.3</v>
      </c>
      <c r="AB109" s="62">
        <v>20.0</v>
      </c>
      <c r="AC109" s="62">
        <v>25.0</v>
      </c>
      <c r="AD109" s="62">
        <v>45.0</v>
      </c>
      <c r="AE109" s="62">
        <v>50.0</v>
      </c>
      <c r="AF109" s="62">
        <v>55.0</v>
      </c>
    </row>
    <row r="110" ht="15.75" customHeight="1">
      <c r="A110" s="12" t="s">
        <v>65</v>
      </c>
      <c r="B110" s="12" t="s">
        <v>241</v>
      </c>
      <c r="C110" s="12" t="s">
        <v>249</v>
      </c>
      <c r="D110" s="61" t="s">
        <v>250</v>
      </c>
      <c r="G110" s="62">
        <v>520.0</v>
      </c>
      <c r="H110" s="62">
        <v>110.0</v>
      </c>
      <c r="I110" s="62">
        <v>8.0</v>
      </c>
      <c r="J110" s="62">
        <v>4.0</v>
      </c>
      <c r="K110" s="62">
        <v>2.0</v>
      </c>
      <c r="L110" s="62">
        <v>3.0</v>
      </c>
      <c r="N110" s="12" t="s">
        <v>80</v>
      </c>
      <c r="O110" s="12" t="s">
        <v>76</v>
      </c>
      <c r="P110" s="62">
        <v>0.1</v>
      </c>
      <c r="Q110" s="62">
        <v>0.05</v>
      </c>
      <c r="R110" s="62">
        <v>0.0</v>
      </c>
      <c r="S110" s="62">
        <v>0.0</v>
      </c>
      <c r="T110" s="63">
        <v>1545.0</v>
      </c>
      <c r="U110" s="62">
        <v>154.3388374784829</v>
      </c>
      <c r="V110" s="62">
        <v>84.88636061316559</v>
      </c>
      <c r="W110" s="62">
        <v>1785.0</v>
      </c>
      <c r="X110" s="62">
        <v>1545.0</v>
      </c>
      <c r="Y110" s="62">
        <v>0.1</v>
      </c>
      <c r="Z110" s="62">
        <v>1405.0</v>
      </c>
      <c r="AA110" s="62">
        <v>0.3</v>
      </c>
      <c r="AB110" s="62">
        <v>425.0</v>
      </c>
      <c r="AC110" s="62">
        <v>495.0</v>
      </c>
      <c r="AD110" s="62">
        <v>945.0</v>
      </c>
      <c r="AE110" s="62">
        <v>1040.0</v>
      </c>
      <c r="AF110" s="62">
        <v>1090.0</v>
      </c>
    </row>
    <row r="111" ht="15.75" customHeight="1">
      <c r="A111" s="12" t="s">
        <v>65</v>
      </c>
      <c r="B111" s="12" t="s">
        <v>241</v>
      </c>
      <c r="C111" s="12" t="s">
        <v>251</v>
      </c>
      <c r="D111" s="61" t="s">
        <v>252</v>
      </c>
      <c r="F111" s="12" t="s">
        <v>9</v>
      </c>
      <c r="G111" s="62">
        <v>620.0</v>
      </c>
      <c r="H111" s="62">
        <v>45.0</v>
      </c>
      <c r="I111" s="62">
        <v>6.0</v>
      </c>
      <c r="J111" s="62">
        <v>2.0</v>
      </c>
      <c r="K111" s="62">
        <v>1.0</v>
      </c>
      <c r="L111" s="62">
        <v>0.0</v>
      </c>
      <c r="N111" s="12" t="s">
        <v>80</v>
      </c>
      <c r="O111" s="12" t="s">
        <v>71</v>
      </c>
      <c r="P111" s="62">
        <v>0.1</v>
      </c>
      <c r="Q111" s="62">
        <v>0.05</v>
      </c>
      <c r="R111" s="62">
        <v>0.0</v>
      </c>
      <c r="S111" s="62">
        <v>0.0</v>
      </c>
      <c r="T111" s="63">
        <v>1080.0</v>
      </c>
      <c r="U111" s="62">
        <v>107.99984260404595</v>
      </c>
      <c r="V111" s="62">
        <v>59.39991343222527</v>
      </c>
      <c r="W111" s="62">
        <v>1250.0</v>
      </c>
      <c r="X111" s="62">
        <v>1080.0</v>
      </c>
      <c r="Y111" s="62">
        <v>0.1</v>
      </c>
      <c r="Z111" s="62">
        <v>985.0</v>
      </c>
      <c r="AA111" s="62">
        <v>0.3</v>
      </c>
      <c r="AB111" s="62">
        <v>300.0</v>
      </c>
      <c r="AC111" s="62">
        <v>350.0</v>
      </c>
      <c r="AD111" s="62">
        <v>665.0</v>
      </c>
      <c r="AE111" s="62">
        <v>730.0</v>
      </c>
      <c r="AF111" s="62">
        <v>765.0</v>
      </c>
    </row>
    <row r="112" ht="15.75" customHeight="1">
      <c r="A112" s="12" t="s">
        <v>65</v>
      </c>
      <c r="B112" s="12" t="s">
        <v>241</v>
      </c>
      <c r="C112" s="12" t="s">
        <v>251</v>
      </c>
      <c r="D112" s="61" t="s">
        <v>253</v>
      </c>
      <c r="F112" s="12" t="s">
        <v>9</v>
      </c>
      <c r="G112" s="62">
        <v>250.0</v>
      </c>
      <c r="H112" s="62">
        <v>90.0</v>
      </c>
      <c r="I112" s="62">
        <v>8.0</v>
      </c>
      <c r="K112" s="62">
        <v>2.0</v>
      </c>
      <c r="L112" s="62">
        <v>0.0</v>
      </c>
      <c r="N112" s="12" t="s">
        <v>80</v>
      </c>
      <c r="O112" s="12" t="s">
        <v>71</v>
      </c>
      <c r="P112" s="62">
        <v>0.1</v>
      </c>
      <c r="Q112" s="62">
        <v>0.05</v>
      </c>
      <c r="R112" s="62">
        <v>0.0</v>
      </c>
      <c r="S112" s="62">
        <v>0.0</v>
      </c>
      <c r="T112" s="63">
        <v>705.0</v>
      </c>
      <c r="U112" s="62">
        <v>70.43412086457674</v>
      </c>
      <c r="V112" s="62">
        <v>38.73876647551721</v>
      </c>
      <c r="W112" s="62">
        <v>815.0</v>
      </c>
      <c r="X112" s="62">
        <v>705.0</v>
      </c>
      <c r="Y112" s="62">
        <v>0.1</v>
      </c>
      <c r="Z112" s="62">
        <v>645.0</v>
      </c>
      <c r="AA112" s="62">
        <v>0.3</v>
      </c>
      <c r="AB112" s="62">
        <v>195.0</v>
      </c>
      <c r="AC112" s="62">
        <v>230.0</v>
      </c>
      <c r="AD112" s="62">
        <v>435.0</v>
      </c>
      <c r="AE112" s="62">
        <v>480.0</v>
      </c>
      <c r="AF112" s="62">
        <v>505.0</v>
      </c>
    </row>
    <row r="113" ht="15.75" customHeight="1">
      <c r="A113" s="12" t="s">
        <v>65</v>
      </c>
      <c r="B113" s="12" t="s">
        <v>241</v>
      </c>
      <c r="C113" s="12" t="s">
        <v>251</v>
      </c>
      <c r="D113" s="61" t="s">
        <v>254</v>
      </c>
      <c r="F113" s="12" t="s">
        <v>92</v>
      </c>
      <c r="G113" s="62">
        <v>150.0</v>
      </c>
      <c r="H113" s="62">
        <v>90.0</v>
      </c>
      <c r="I113" s="62">
        <v>5.0</v>
      </c>
      <c r="K113" s="62">
        <v>2.0</v>
      </c>
      <c r="L113" s="62">
        <v>0.0</v>
      </c>
      <c r="N113" s="12" t="s">
        <v>80</v>
      </c>
      <c r="O113" s="12" t="s">
        <v>71</v>
      </c>
      <c r="P113" s="62">
        <v>0.1</v>
      </c>
      <c r="Q113" s="62">
        <v>0.05</v>
      </c>
      <c r="R113" s="62">
        <v>0.0</v>
      </c>
      <c r="S113" s="62">
        <v>0.0</v>
      </c>
      <c r="T113" s="63">
        <v>490.0</v>
      </c>
      <c r="U113" s="62">
        <v>48.89950937363707</v>
      </c>
      <c r="V113" s="62">
        <v>26.89473015550039</v>
      </c>
      <c r="W113" s="62">
        <v>565.0</v>
      </c>
      <c r="X113" s="62">
        <v>490.0</v>
      </c>
      <c r="Y113" s="62">
        <v>0.1</v>
      </c>
      <c r="Z113" s="62">
        <v>450.0</v>
      </c>
      <c r="AA113" s="62">
        <v>0.3</v>
      </c>
      <c r="AB113" s="62">
        <v>135.0</v>
      </c>
      <c r="AC113" s="62">
        <v>160.0</v>
      </c>
      <c r="AD113" s="62">
        <v>305.0</v>
      </c>
      <c r="AE113" s="62">
        <v>335.0</v>
      </c>
      <c r="AF113" s="62">
        <v>350.0</v>
      </c>
    </row>
    <row r="114" ht="15.75" customHeight="1">
      <c r="A114" s="12" t="s">
        <v>65</v>
      </c>
      <c r="B114" s="12" t="s">
        <v>255</v>
      </c>
      <c r="C114" s="12" t="s">
        <v>256</v>
      </c>
      <c r="D114" s="61" t="s">
        <v>257</v>
      </c>
      <c r="F114" s="12" t="s">
        <v>9</v>
      </c>
      <c r="G114" s="62">
        <v>250.0</v>
      </c>
      <c r="I114" s="62">
        <v>9.0</v>
      </c>
      <c r="L114" s="62">
        <v>0.0</v>
      </c>
      <c r="N114" s="12" t="s">
        <v>80</v>
      </c>
      <c r="O114" s="12" t="s">
        <v>71</v>
      </c>
      <c r="P114" s="62">
        <v>0.1</v>
      </c>
      <c r="Q114" s="62">
        <v>0.05</v>
      </c>
      <c r="R114" s="62">
        <v>0.0</v>
      </c>
      <c r="S114" s="62">
        <v>0.0</v>
      </c>
      <c r="T114" s="63">
        <v>640.0</v>
      </c>
      <c r="U114" s="62">
        <v>63.87909155986625</v>
      </c>
      <c r="V114" s="62">
        <v>35.13350035792643</v>
      </c>
      <c r="W114" s="62">
        <v>740.0</v>
      </c>
      <c r="X114" s="62">
        <v>640.0</v>
      </c>
      <c r="Y114" s="62">
        <v>0.1</v>
      </c>
      <c r="Z114" s="62">
        <v>585.0</v>
      </c>
      <c r="AA114" s="62">
        <v>0.3</v>
      </c>
      <c r="AB114" s="62">
        <v>180.0</v>
      </c>
      <c r="AC114" s="62">
        <v>210.0</v>
      </c>
      <c r="AD114" s="62">
        <v>395.0</v>
      </c>
      <c r="AE114" s="62">
        <v>435.0</v>
      </c>
      <c r="AF114" s="62">
        <v>455.0</v>
      </c>
    </row>
    <row r="115" ht="15.75" customHeight="1">
      <c r="A115" s="12" t="s">
        <v>65</v>
      </c>
      <c r="B115" s="12" t="s">
        <v>255</v>
      </c>
      <c r="C115" s="12" t="s">
        <v>258</v>
      </c>
      <c r="D115" s="61" t="s">
        <v>259</v>
      </c>
      <c r="F115" s="12" t="s">
        <v>69</v>
      </c>
      <c r="G115" s="62">
        <v>500.0</v>
      </c>
      <c r="H115" s="62">
        <v>80.0</v>
      </c>
      <c r="I115" s="62">
        <v>7.0</v>
      </c>
      <c r="K115" s="62">
        <v>2.0</v>
      </c>
      <c r="L115" s="62">
        <v>38.0</v>
      </c>
      <c r="N115" s="12" t="s">
        <v>80</v>
      </c>
      <c r="O115" s="12" t="s">
        <v>71</v>
      </c>
      <c r="P115" s="62">
        <v>0.1</v>
      </c>
      <c r="Q115" s="62">
        <v>0.05</v>
      </c>
      <c r="R115" s="62">
        <v>0.0</v>
      </c>
      <c r="S115" s="62">
        <v>0.0</v>
      </c>
      <c r="T115" s="63">
        <v>980.0</v>
      </c>
      <c r="U115" s="62">
        <v>97.6862922471281</v>
      </c>
      <c r="V115" s="62">
        <v>53.727460735920445</v>
      </c>
      <c r="W115" s="62">
        <v>1130.0</v>
      </c>
      <c r="X115" s="62">
        <v>805.0</v>
      </c>
      <c r="Y115" s="62">
        <v>0.1</v>
      </c>
      <c r="Z115" s="62">
        <v>735.0</v>
      </c>
      <c r="AA115" s="62">
        <v>0.3</v>
      </c>
      <c r="AB115" s="62">
        <v>225.0</v>
      </c>
      <c r="AC115" s="62">
        <v>260.0</v>
      </c>
      <c r="AD115" s="62">
        <v>445.0</v>
      </c>
      <c r="AE115" s="62">
        <v>490.0</v>
      </c>
      <c r="AF115" s="62">
        <v>510.0</v>
      </c>
    </row>
    <row r="116" ht="15.75" customHeight="1">
      <c r="A116" s="12" t="s">
        <v>247</v>
      </c>
      <c r="B116" s="12" t="s">
        <v>255</v>
      </c>
      <c r="C116" s="12" t="s">
        <v>258</v>
      </c>
      <c r="D116" s="61" t="s">
        <v>260</v>
      </c>
      <c r="F116" s="12" t="s">
        <v>69</v>
      </c>
      <c r="G116" s="62">
        <v>560.0</v>
      </c>
      <c r="H116" s="62">
        <v>80.0</v>
      </c>
      <c r="I116" s="62">
        <v>7.0</v>
      </c>
      <c r="K116" s="62">
        <v>2.0</v>
      </c>
      <c r="L116" s="62">
        <v>38.0</v>
      </c>
      <c r="N116" s="12" t="s">
        <v>80</v>
      </c>
      <c r="O116" s="12" t="s">
        <v>71</v>
      </c>
      <c r="P116" s="62">
        <v>0.1</v>
      </c>
      <c r="Q116" s="62">
        <v>0.05</v>
      </c>
      <c r="R116" s="62">
        <v>0.0</v>
      </c>
      <c r="S116" s="62">
        <v>0.0</v>
      </c>
      <c r="T116" s="63">
        <v>1040.0</v>
      </c>
      <c r="U116" s="62">
        <v>103.5304625389146</v>
      </c>
      <c r="V116" s="62">
        <v>56.941754396403034</v>
      </c>
      <c r="W116" s="62">
        <v>1200.0</v>
      </c>
      <c r="X116" s="62">
        <v>805.0</v>
      </c>
      <c r="Y116" s="62">
        <v>0.1</v>
      </c>
      <c r="Z116" s="62">
        <v>735.0</v>
      </c>
      <c r="AA116" s="62">
        <v>0.3</v>
      </c>
      <c r="AB116" s="62">
        <v>225.0</v>
      </c>
      <c r="AC116" s="62">
        <v>260.0</v>
      </c>
      <c r="AD116" s="62">
        <v>425.0</v>
      </c>
      <c r="AE116" s="62">
        <v>470.0</v>
      </c>
      <c r="AF116" s="62">
        <v>490.0</v>
      </c>
    </row>
    <row r="117" ht="15.75" customHeight="1">
      <c r="A117" s="12" t="s">
        <v>65</v>
      </c>
      <c r="B117" s="12" t="s">
        <v>255</v>
      </c>
      <c r="C117" s="12" t="s">
        <v>258</v>
      </c>
      <c r="D117" s="61" t="s">
        <v>261</v>
      </c>
      <c r="F117" s="12" t="s">
        <v>69</v>
      </c>
      <c r="G117" s="62">
        <v>560.0</v>
      </c>
      <c r="H117" s="62">
        <v>80.0</v>
      </c>
      <c r="I117" s="62">
        <v>11.0</v>
      </c>
      <c r="J117" s="62">
        <v>4.0</v>
      </c>
      <c r="K117" s="62">
        <v>2.0</v>
      </c>
      <c r="L117" s="62">
        <v>44.0</v>
      </c>
      <c r="N117" s="12" t="s">
        <v>80</v>
      </c>
      <c r="O117" s="12" t="s">
        <v>71</v>
      </c>
      <c r="P117" s="62">
        <v>0.1</v>
      </c>
      <c r="Q117" s="62">
        <v>0.05</v>
      </c>
      <c r="R117" s="62">
        <v>0.0</v>
      </c>
      <c r="S117" s="62">
        <v>0.0</v>
      </c>
      <c r="T117" s="63">
        <v>1580.0</v>
      </c>
      <c r="U117" s="62">
        <v>157.57430058191346</v>
      </c>
      <c r="V117" s="62">
        <v>86.6658653200524</v>
      </c>
      <c r="W117" s="62">
        <v>1820.0</v>
      </c>
      <c r="X117" s="62">
        <v>1580.0</v>
      </c>
      <c r="Y117" s="62">
        <v>0.1</v>
      </c>
      <c r="Z117" s="62">
        <v>1440.0</v>
      </c>
      <c r="AA117" s="62">
        <v>0.3</v>
      </c>
      <c r="AB117" s="62">
        <v>435.0</v>
      </c>
      <c r="AC117" s="62">
        <v>505.0</v>
      </c>
      <c r="AD117" s="62">
        <v>970.0</v>
      </c>
      <c r="AE117" s="62">
        <v>1065.0</v>
      </c>
      <c r="AF117" s="62">
        <v>1120.0</v>
      </c>
    </row>
    <row r="118" ht="15.75" customHeight="1">
      <c r="A118" s="12" t="s">
        <v>65</v>
      </c>
      <c r="B118" s="12" t="s">
        <v>255</v>
      </c>
      <c r="C118" s="12" t="s">
        <v>262</v>
      </c>
      <c r="D118" s="61" t="s">
        <v>263</v>
      </c>
      <c r="F118" s="12" t="s">
        <v>69</v>
      </c>
      <c r="G118" s="62">
        <v>450.0</v>
      </c>
      <c r="H118" s="62">
        <v>100.0</v>
      </c>
      <c r="I118" s="62">
        <v>10.0</v>
      </c>
      <c r="K118" s="62">
        <v>2.0</v>
      </c>
      <c r="L118" s="62">
        <v>30.0</v>
      </c>
      <c r="N118" s="12" t="s">
        <v>20</v>
      </c>
      <c r="O118" s="12" t="s">
        <v>22</v>
      </c>
      <c r="P118" s="62">
        <v>0.1</v>
      </c>
      <c r="Q118" s="62">
        <v>0.05</v>
      </c>
      <c r="R118" s="62">
        <v>0.0</v>
      </c>
      <c r="S118" s="62">
        <v>0.0</v>
      </c>
      <c r="T118" s="63">
        <v>780.0</v>
      </c>
      <c r="U118" s="62">
        <v>77.94322180576108</v>
      </c>
      <c r="V118" s="62">
        <v>42.86877199316859</v>
      </c>
      <c r="W118" s="62">
        <v>905.0</v>
      </c>
      <c r="X118" s="62">
        <v>780.0</v>
      </c>
      <c r="Y118" s="62">
        <v>0.1</v>
      </c>
      <c r="Z118" s="62">
        <v>710.0</v>
      </c>
      <c r="AA118" s="62">
        <v>0.3</v>
      </c>
      <c r="AB118" s="62">
        <v>215.0</v>
      </c>
      <c r="AC118" s="62">
        <v>250.0</v>
      </c>
      <c r="AD118" s="62">
        <v>480.0</v>
      </c>
      <c r="AE118" s="62">
        <v>525.0</v>
      </c>
      <c r="AF118" s="62">
        <v>550.0</v>
      </c>
    </row>
    <row r="119" ht="15.75" customHeight="1">
      <c r="A119" s="12" t="s">
        <v>65</v>
      </c>
      <c r="B119" s="12" t="s">
        <v>255</v>
      </c>
      <c r="C119" s="12" t="s">
        <v>264</v>
      </c>
      <c r="D119" s="61" t="s">
        <v>265</v>
      </c>
      <c r="F119" s="12" t="s">
        <v>92</v>
      </c>
      <c r="G119" s="62">
        <v>150.0</v>
      </c>
      <c r="I119" s="62">
        <v>5.0</v>
      </c>
      <c r="J119" s="62">
        <v>1.0</v>
      </c>
      <c r="L119" s="62">
        <v>0.0</v>
      </c>
      <c r="N119" s="12" t="s">
        <v>80</v>
      </c>
      <c r="O119" s="12" t="s">
        <v>71</v>
      </c>
      <c r="P119" s="62">
        <v>0.1</v>
      </c>
      <c r="Q119" s="62">
        <v>0.05</v>
      </c>
      <c r="R119" s="62">
        <v>0.0</v>
      </c>
      <c r="S119" s="62">
        <v>0.0</v>
      </c>
      <c r="T119" s="63">
        <v>470.0</v>
      </c>
      <c r="U119" s="62">
        <v>46.82050937363707</v>
      </c>
      <c r="V119" s="62">
        <v>25.75128015550039</v>
      </c>
      <c r="W119" s="62">
        <v>545.0</v>
      </c>
      <c r="X119" s="62">
        <v>520.0</v>
      </c>
      <c r="Y119" s="62">
        <v>0.1</v>
      </c>
      <c r="Z119" s="62">
        <v>475.0</v>
      </c>
      <c r="AA119" s="62">
        <v>0.3</v>
      </c>
      <c r="AB119" s="62">
        <v>145.0</v>
      </c>
      <c r="AC119" s="62">
        <v>170.0</v>
      </c>
      <c r="AD119" s="62">
        <v>335.0</v>
      </c>
      <c r="AE119" s="62">
        <v>370.0</v>
      </c>
      <c r="AF119" s="62">
        <v>385.0</v>
      </c>
    </row>
    <row r="120" ht="15.75" customHeight="1">
      <c r="A120" s="12" t="s">
        <v>65</v>
      </c>
      <c r="B120" s="12" t="s">
        <v>255</v>
      </c>
      <c r="C120" s="12" t="s">
        <v>266</v>
      </c>
      <c r="D120" s="61" t="s">
        <v>267</v>
      </c>
      <c r="F120" s="12" t="s">
        <v>79</v>
      </c>
      <c r="G120" s="62">
        <v>500.0</v>
      </c>
      <c r="H120" s="62">
        <v>90.0</v>
      </c>
      <c r="I120" s="62">
        <v>6.0</v>
      </c>
      <c r="J120" s="62">
        <v>2.0</v>
      </c>
      <c r="K120" s="62">
        <v>1.0</v>
      </c>
      <c r="L120" s="62">
        <v>27.0</v>
      </c>
      <c r="N120" s="12" t="s">
        <v>80</v>
      </c>
      <c r="O120" s="12" t="s">
        <v>71</v>
      </c>
      <c r="P120" s="62">
        <v>0.1</v>
      </c>
      <c r="Q120" s="62">
        <v>0.05</v>
      </c>
      <c r="R120" s="62">
        <v>0.0</v>
      </c>
      <c r="S120" s="62">
        <v>0.0</v>
      </c>
      <c r="T120" s="63">
        <v>875.0</v>
      </c>
      <c r="U120" s="62">
        <v>87.34823999179068</v>
      </c>
      <c r="V120" s="62">
        <v>48.041531995484874</v>
      </c>
      <c r="W120" s="62">
        <v>1010.0</v>
      </c>
      <c r="X120" s="62">
        <v>550.0</v>
      </c>
      <c r="Y120" s="62">
        <v>0.1</v>
      </c>
      <c r="Z120" s="62">
        <v>500.0</v>
      </c>
      <c r="AA120" s="62">
        <v>0.3</v>
      </c>
      <c r="AB120" s="62">
        <v>150.0</v>
      </c>
      <c r="AC120" s="62">
        <v>175.0</v>
      </c>
      <c r="AD120" s="62">
        <v>350.0</v>
      </c>
      <c r="AE120" s="62">
        <v>385.0</v>
      </c>
      <c r="AF120" s="62">
        <v>405.0</v>
      </c>
    </row>
    <row r="121" ht="15.75" customHeight="1">
      <c r="A121" s="12" t="s">
        <v>65</v>
      </c>
      <c r="B121" s="12" t="s">
        <v>268</v>
      </c>
      <c r="C121" s="12" t="s">
        <v>269</v>
      </c>
      <c r="D121" s="61" t="s">
        <v>270</v>
      </c>
      <c r="F121" s="12" t="s">
        <v>69</v>
      </c>
      <c r="G121" s="62">
        <v>350.0</v>
      </c>
      <c r="H121" s="62">
        <v>75.0</v>
      </c>
      <c r="I121" s="62">
        <v>11.0</v>
      </c>
      <c r="K121" s="62">
        <v>1.0</v>
      </c>
      <c r="L121" s="62">
        <v>5.0</v>
      </c>
      <c r="N121" s="12" t="s">
        <v>70</v>
      </c>
      <c r="O121" s="12" t="s">
        <v>71</v>
      </c>
      <c r="P121" s="62">
        <v>0.1</v>
      </c>
      <c r="Q121" s="62">
        <v>0.05</v>
      </c>
      <c r="R121" s="62">
        <v>0.0</v>
      </c>
      <c r="S121" s="62">
        <v>0.0</v>
      </c>
      <c r="T121" s="63">
        <v>815.0</v>
      </c>
      <c r="U121" s="62">
        <v>81.46724915538411</v>
      </c>
      <c r="V121" s="62">
        <v>44.80698703546126</v>
      </c>
      <c r="W121" s="62">
        <v>945.0</v>
      </c>
      <c r="X121" s="62">
        <v>900.0</v>
      </c>
      <c r="Y121" s="62">
        <v>0.1</v>
      </c>
      <c r="Z121" s="62">
        <v>820.0</v>
      </c>
      <c r="AA121" s="62">
        <v>0.3</v>
      </c>
      <c r="AB121" s="62">
        <v>250.0</v>
      </c>
      <c r="AC121" s="62">
        <v>290.0</v>
      </c>
      <c r="AD121" s="62">
        <v>575.0</v>
      </c>
      <c r="AE121" s="62">
        <v>635.0</v>
      </c>
      <c r="AF121" s="62">
        <v>665.0</v>
      </c>
    </row>
    <row r="122" ht="15.75" customHeight="1">
      <c r="A122" s="12" t="s">
        <v>65</v>
      </c>
      <c r="B122" s="12" t="s">
        <v>268</v>
      </c>
      <c r="C122" s="12" t="s">
        <v>269</v>
      </c>
      <c r="D122" s="61" t="s">
        <v>271</v>
      </c>
      <c r="F122" s="12" t="s">
        <v>69</v>
      </c>
      <c r="G122" s="62">
        <v>350.0</v>
      </c>
      <c r="I122" s="62">
        <v>11.0</v>
      </c>
      <c r="L122" s="62">
        <v>0.0</v>
      </c>
      <c r="N122" s="12" t="s">
        <v>70</v>
      </c>
      <c r="O122" s="12" t="s">
        <v>71</v>
      </c>
      <c r="P122" s="62">
        <v>0.1</v>
      </c>
      <c r="Q122" s="62">
        <v>0.05</v>
      </c>
      <c r="R122" s="62">
        <v>0.0</v>
      </c>
      <c r="S122" s="62">
        <v>0.0</v>
      </c>
      <c r="T122" s="63">
        <v>755.0</v>
      </c>
      <c r="U122" s="62">
        <v>75.09354355582485</v>
      </c>
      <c r="V122" s="62">
        <v>41.30144895570367</v>
      </c>
      <c r="W122" s="62">
        <v>870.0</v>
      </c>
      <c r="X122" s="62">
        <v>835.0</v>
      </c>
      <c r="Y122" s="62">
        <v>0.1</v>
      </c>
      <c r="Z122" s="62">
        <v>760.0</v>
      </c>
      <c r="AA122" s="62">
        <v>0.3</v>
      </c>
      <c r="AB122" s="62">
        <v>230.0</v>
      </c>
      <c r="AC122" s="62">
        <v>270.0</v>
      </c>
      <c r="AD122" s="62">
        <v>535.0</v>
      </c>
      <c r="AE122" s="62">
        <v>590.0</v>
      </c>
      <c r="AF122" s="62">
        <v>615.0</v>
      </c>
    </row>
    <row r="123" ht="15.75" customHeight="1">
      <c r="A123" s="12" t="s">
        <v>65</v>
      </c>
      <c r="B123" s="12" t="s">
        <v>272</v>
      </c>
      <c r="C123" s="12" t="s">
        <v>273</v>
      </c>
      <c r="D123" s="61" t="s">
        <v>274</v>
      </c>
      <c r="F123" s="12" t="s">
        <v>92</v>
      </c>
      <c r="G123" s="62">
        <v>350.0</v>
      </c>
      <c r="I123" s="62">
        <v>7.0</v>
      </c>
      <c r="L123" s="62">
        <v>0.0</v>
      </c>
      <c r="N123" s="12" t="s">
        <v>20</v>
      </c>
      <c r="O123" s="12" t="s">
        <v>22</v>
      </c>
      <c r="P123" s="62">
        <v>0.1</v>
      </c>
      <c r="Q123" s="62">
        <v>0.05</v>
      </c>
      <c r="R123" s="62">
        <v>0.0</v>
      </c>
      <c r="S123" s="62">
        <v>0.0</v>
      </c>
      <c r="T123" s="63">
        <v>475.0</v>
      </c>
      <c r="U123" s="62">
        <v>47.14528752009715</v>
      </c>
      <c r="V123" s="62">
        <v>25.929908136053427</v>
      </c>
      <c r="W123" s="62">
        <v>545.0</v>
      </c>
      <c r="X123" s="62">
        <v>705.0</v>
      </c>
      <c r="Y123" s="62">
        <v>0.1</v>
      </c>
      <c r="Z123" s="62">
        <v>645.0</v>
      </c>
      <c r="AA123" s="62">
        <v>0.3</v>
      </c>
      <c r="AB123" s="62">
        <v>195.0</v>
      </c>
      <c r="AC123" s="62">
        <v>230.0</v>
      </c>
      <c r="AD123" s="62">
        <v>455.0</v>
      </c>
      <c r="AE123" s="62">
        <v>500.0</v>
      </c>
      <c r="AF123" s="62">
        <v>525.0</v>
      </c>
    </row>
    <row r="124" ht="15.75" customHeight="1">
      <c r="A124" s="12" t="s">
        <v>247</v>
      </c>
      <c r="B124" s="12" t="s">
        <v>275</v>
      </c>
      <c r="C124" s="12" t="s">
        <v>273</v>
      </c>
      <c r="D124" s="61" t="s">
        <v>276</v>
      </c>
      <c r="F124" s="12" t="s">
        <v>9</v>
      </c>
      <c r="G124" s="62">
        <v>250.0</v>
      </c>
      <c r="H124" s="62">
        <v>25.0</v>
      </c>
      <c r="I124" s="62">
        <v>9.0</v>
      </c>
      <c r="J124" s="62">
        <v>1.0</v>
      </c>
      <c r="L124" s="62">
        <v>0.0</v>
      </c>
      <c r="N124" s="12" t="s">
        <v>80</v>
      </c>
      <c r="O124" s="12" t="s">
        <v>22</v>
      </c>
      <c r="P124" s="62">
        <v>0.1</v>
      </c>
      <c r="Q124" s="62">
        <v>0.05</v>
      </c>
      <c r="R124" s="62">
        <v>0.0</v>
      </c>
      <c r="S124" s="62">
        <v>0.0</v>
      </c>
      <c r="T124" s="63">
        <v>640.0</v>
      </c>
      <c r="U124" s="62">
        <v>63.81656998854085</v>
      </c>
      <c r="V124" s="62">
        <v>35.099113493697466</v>
      </c>
      <c r="W124" s="62">
        <v>740.0</v>
      </c>
      <c r="X124" s="62">
        <v>95.0</v>
      </c>
      <c r="Y124" s="62">
        <v>0.1</v>
      </c>
      <c r="Z124" s="62">
        <v>90.0</v>
      </c>
      <c r="AA124" s="62">
        <v>0.3</v>
      </c>
      <c r="AB124" s="62">
        <v>30.0</v>
      </c>
      <c r="AC124" s="62">
        <v>35.0</v>
      </c>
      <c r="AD124" s="62">
        <v>65.0</v>
      </c>
      <c r="AE124" s="62">
        <v>70.0</v>
      </c>
      <c r="AF124" s="62">
        <v>75.0</v>
      </c>
    </row>
    <row r="125" ht="15.75" customHeight="1">
      <c r="A125" s="12" t="s">
        <v>65</v>
      </c>
      <c r="B125" s="12" t="s">
        <v>275</v>
      </c>
      <c r="C125" s="12" t="s">
        <v>277</v>
      </c>
      <c r="D125" s="61" t="s">
        <v>278</v>
      </c>
      <c r="F125" s="12" t="s">
        <v>79</v>
      </c>
      <c r="G125" s="62">
        <v>150.0</v>
      </c>
      <c r="I125" s="62">
        <v>3.0</v>
      </c>
      <c r="L125" s="62">
        <v>0.0</v>
      </c>
      <c r="N125" s="12" t="s">
        <v>80</v>
      </c>
      <c r="O125" s="12" t="s">
        <v>22</v>
      </c>
      <c r="P125" s="62">
        <v>0.1</v>
      </c>
      <c r="Q125" s="62">
        <v>0.05</v>
      </c>
      <c r="R125" s="62">
        <v>0.0</v>
      </c>
      <c r="S125" s="62">
        <v>0.0</v>
      </c>
      <c r="T125" s="63">
        <v>200.0</v>
      </c>
      <c r="U125" s="62">
        <v>19.634880135877395</v>
      </c>
      <c r="V125" s="62">
        <v>10.799184074732565</v>
      </c>
      <c r="W125" s="62">
        <v>230.0</v>
      </c>
      <c r="X125" s="62">
        <v>220.0</v>
      </c>
      <c r="Y125" s="62">
        <v>0.1</v>
      </c>
      <c r="Z125" s="62">
        <v>200.0</v>
      </c>
      <c r="AA125" s="62">
        <v>0.3</v>
      </c>
      <c r="AB125" s="62">
        <v>60.0</v>
      </c>
      <c r="AC125" s="62">
        <v>70.0</v>
      </c>
      <c r="AD125" s="62">
        <v>140.0</v>
      </c>
      <c r="AE125" s="62">
        <v>155.0</v>
      </c>
      <c r="AF125" s="62">
        <v>165.0</v>
      </c>
    </row>
    <row r="126" ht="15.75" customHeight="1">
      <c r="A126" s="12" t="s">
        <v>65</v>
      </c>
      <c r="B126" s="12" t="s">
        <v>279</v>
      </c>
      <c r="C126" s="12" t="s">
        <v>280</v>
      </c>
      <c r="D126" s="61" t="s">
        <v>281</v>
      </c>
      <c r="F126" s="12" t="s">
        <v>9</v>
      </c>
      <c r="G126" s="62">
        <v>250.0</v>
      </c>
      <c r="H126" s="62">
        <v>150.0</v>
      </c>
      <c r="I126" s="62">
        <v>8.0</v>
      </c>
      <c r="J126" s="62">
        <v>1.0</v>
      </c>
      <c r="K126" s="62">
        <v>2.0</v>
      </c>
      <c r="L126" s="62">
        <v>0.0</v>
      </c>
      <c r="N126" s="12" t="s">
        <v>20</v>
      </c>
      <c r="O126" s="12" t="s">
        <v>71</v>
      </c>
      <c r="P126" s="62">
        <v>0.1</v>
      </c>
      <c r="Q126" s="62">
        <v>0.05</v>
      </c>
      <c r="R126" s="62">
        <v>0.0</v>
      </c>
      <c r="S126" s="62">
        <v>0.0</v>
      </c>
      <c r="T126" s="63">
        <v>690.0</v>
      </c>
      <c r="U126" s="62">
        <v>68.53273146739707</v>
      </c>
      <c r="V126" s="62">
        <v>37.69300230706839</v>
      </c>
      <c r="W126" s="62">
        <v>795.0</v>
      </c>
      <c r="X126" s="62">
        <v>1320.0</v>
      </c>
      <c r="Y126" s="62">
        <v>0.1</v>
      </c>
      <c r="Z126" s="62">
        <v>1200.0</v>
      </c>
      <c r="AA126" s="62">
        <v>0.3</v>
      </c>
      <c r="AB126" s="62">
        <v>360.0</v>
      </c>
      <c r="AC126" s="62">
        <v>420.0</v>
      </c>
      <c r="AD126" s="62">
        <v>840.0</v>
      </c>
      <c r="AE126" s="62">
        <v>925.0</v>
      </c>
      <c r="AF126" s="62">
        <v>975.0</v>
      </c>
    </row>
    <row r="127" ht="15.75" customHeight="1">
      <c r="A127" s="12" t="s">
        <v>65</v>
      </c>
      <c r="B127" s="12" t="s">
        <v>282</v>
      </c>
      <c r="C127" s="12" t="s">
        <v>283</v>
      </c>
      <c r="D127" s="61" t="s">
        <v>284</v>
      </c>
      <c r="F127" s="12" t="s">
        <v>79</v>
      </c>
      <c r="G127" s="62">
        <v>90.0</v>
      </c>
      <c r="I127" s="62">
        <v>2.0</v>
      </c>
      <c r="L127" s="62">
        <v>0.0</v>
      </c>
      <c r="N127" s="12" t="s">
        <v>20</v>
      </c>
      <c r="O127" s="12" t="s">
        <v>76</v>
      </c>
      <c r="P127" s="62">
        <v>0.1</v>
      </c>
      <c r="Q127" s="62">
        <v>0.05</v>
      </c>
      <c r="R127" s="62">
        <v>0.0</v>
      </c>
      <c r="S127" s="62">
        <v>0.0</v>
      </c>
      <c r="T127" s="63">
        <v>170.0</v>
      </c>
      <c r="U127" s="62">
        <v>16.74224645793076</v>
      </c>
      <c r="V127" s="62">
        <v>9.208235551861918</v>
      </c>
      <c r="W127" s="62">
        <v>195.0</v>
      </c>
      <c r="X127" s="62">
        <v>800.0</v>
      </c>
      <c r="Y127" s="62">
        <v>0.1</v>
      </c>
      <c r="Z127" s="62">
        <v>730.0</v>
      </c>
      <c r="AA127" s="62">
        <v>0.3</v>
      </c>
      <c r="AB127" s="62">
        <v>220.0</v>
      </c>
      <c r="AC127" s="62">
        <v>255.0</v>
      </c>
      <c r="AD127" s="62">
        <v>515.0</v>
      </c>
      <c r="AE127" s="62">
        <v>565.0</v>
      </c>
      <c r="AF127" s="62">
        <v>595.0</v>
      </c>
    </row>
    <row r="128" ht="15.75" customHeight="1">
      <c r="A128" s="12" t="s">
        <v>65</v>
      </c>
      <c r="B128" s="12" t="s">
        <v>285</v>
      </c>
      <c r="C128" s="12" t="s">
        <v>286</v>
      </c>
      <c r="D128" s="61" t="s">
        <v>287</v>
      </c>
      <c r="F128" s="12" t="s">
        <v>9</v>
      </c>
      <c r="G128" s="62">
        <v>250.0</v>
      </c>
      <c r="H128" s="62">
        <v>150.0</v>
      </c>
      <c r="I128" s="62">
        <v>8.0</v>
      </c>
      <c r="K128" s="62">
        <v>2.0</v>
      </c>
      <c r="L128" s="62">
        <v>0.0</v>
      </c>
      <c r="N128" s="12" t="s">
        <v>80</v>
      </c>
      <c r="O128" s="12" t="s">
        <v>22</v>
      </c>
      <c r="P128" s="62">
        <v>0.1</v>
      </c>
      <c r="Q128" s="62">
        <v>0.05</v>
      </c>
      <c r="R128" s="62">
        <v>0.0</v>
      </c>
      <c r="S128" s="62">
        <v>0.0</v>
      </c>
      <c r="T128" s="63">
        <v>605.0</v>
      </c>
      <c r="U128" s="62">
        <v>60.41570273489023</v>
      </c>
      <c r="V128" s="62">
        <v>33.22863650418963</v>
      </c>
      <c r="W128" s="62">
        <v>700.0</v>
      </c>
      <c r="X128" s="62">
        <v>670.0</v>
      </c>
      <c r="Y128" s="62">
        <v>0.1</v>
      </c>
      <c r="Z128" s="62">
        <v>610.0</v>
      </c>
      <c r="AA128" s="62">
        <v>0.3</v>
      </c>
      <c r="AB128" s="62">
        <v>185.0</v>
      </c>
      <c r="AC128" s="62">
        <v>215.0</v>
      </c>
      <c r="AD128" s="62">
        <v>430.0</v>
      </c>
      <c r="AE128" s="62">
        <v>470.0</v>
      </c>
      <c r="AF128" s="62">
        <v>495.0</v>
      </c>
    </row>
    <row r="129" ht="15.75" customHeight="1">
      <c r="A129" s="12" t="s">
        <v>65</v>
      </c>
      <c r="B129" s="12" t="s">
        <v>285</v>
      </c>
      <c r="C129" s="12" t="s">
        <v>286</v>
      </c>
      <c r="D129" s="61" t="s">
        <v>288</v>
      </c>
      <c r="F129" s="12" t="s">
        <v>9</v>
      </c>
      <c r="G129" s="62">
        <v>250.0</v>
      </c>
      <c r="H129" s="62">
        <v>150.0</v>
      </c>
      <c r="I129" s="62">
        <v>8.0</v>
      </c>
      <c r="K129" s="62">
        <v>2.0</v>
      </c>
      <c r="L129" s="62">
        <v>0.0</v>
      </c>
      <c r="N129" s="12" t="s">
        <v>80</v>
      </c>
      <c r="O129" s="12" t="s">
        <v>22</v>
      </c>
      <c r="P129" s="62">
        <v>0.1</v>
      </c>
      <c r="Q129" s="62">
        <v>0.05</v>
      </c>
      <c r="R129" s="62">
        <v>0.0</v>
      </c>
      <c r="S129" s="62">
        <v>0.0</v>
      </c>
      <c r="T129" s="63">
        <v>605.0</v>
      </c>
      <c r="U129" s="62">
        <v>60.41570273489023</v>
      </c>
      <c r="V129" s="62">
        <v>33.22863650418963</v>
      </c>
      <c r="W129" s="62">
        <v>700.0</v>
      </c>
      <c r="X129" s="62">
        <v>670.0</v>
      </c>
      <c r="Y129" s="62">
        <v>0.1</v>
      </c>
      <c r="Z129" s="62">
        <v>610.0</v>
      </c>
      <c r="AA129" s="62">
        <v>0.3</v>
      </c>
      <c r="AB129" s="62">
        <v>185.0</v>
      </c>
      <c r="AC129" s="62">
        <v>215.0</v>
      </c>
      <c r="AD129" s="62">
        <v>430.0</v>
      </c>
      <c r="AE129" s="62">
        <v>470.0</v>
      </c>
      <c r="AF129" s="62">
        <v>495.0</v>
      </c>
    </row>
    <row r="130" ht="15.75" customHeight="1">
      <c r="A130" s="12" t="s">
        <v>65</v>
      </c>
      <c r="B130" s="12" t="s">
        <v>285</v>
      </c>
      <c r="C130" s="12" t="s">
        <v>286</v>
      </c>
      <c r="D130" s="61" t="s">
        <v>289</v>
      </c>
      <c r="F130" s="12" t="s">
        <v>9</v>
      </c>
      <c r="G130" s="62">
        <v>250.0</v>
      </c>
      <c r="H130" s="62">
        <v>150.0</v>
      </c>
      <c r="I130" s="62">
        <v>8.0</v>
      </c>
      <c r="J130" s="62">
        <v>2.0</v>
      </c>
      <c r="K130" s="62">
        <v>2.0</v>
      </c>
      <c r="L130" s="62">
        <v>0.0</v>
      </c>
      <c r="N130" s="12" t="s">
        <v>80</v>
      </c>
      <c r="O130" s="12" t="s">
        <v>22</v>
      </c>
      <c r="P130" s="62">
        <v>0.1</v>
      </c>
      <c r="Q130" s="62">
        <v>0.05</v>
      </c>
      <c r="R130" s="62">
        <v>0.0</v>
      </c>
      <c r="S130" s="62">
        <v>0.0</v>
      </c>
      <c r="T130" s="63">
        <v>765.0</v>
      </c>
      <c r="U130" s="62">
        <v>76.35470273489022</v>
      </c>
      <c r="V130" s="62">
        <v>41.99508650418963</v>
      </c>
      <c r="W130" s="62">
        <v>885.0</v>
      </c>
      <c r="X130" s="62">
        <v>845.0</v>
      </c>
      <c r="Y130" s="62">
        <v>0.1</v>
      </c>
      <c r="Z130" s="62">
        <v>770.0</v>
      </c>
      <c r="AA130" s="62">
        <v>0.3</v>
      </c>
      <c r="AB130" s="62">
        <v>235.0</v>
      </c>
      <c r="AC130" s="62">
        <v>275.0</v>
      </c>
      <c r="AD130" s="62">
        <v>540.0</v>
      </c>
      <c r="AE130" s="62">
        <v>595.0</v>
      </c>
      <c r="AF130" s="62">
        <v>625.0</v>
      </c>
    </row>
    <row r="131" ht="15.75" customHeight="1">
      <c r="A131" s="12" t="s">
        <v>65</v>
      </c>
      <c r="B131" s="12" t="s">
        <v>285</v>
      </c>
      <c r="C131" s="12" t="s">
        <v>290</v>
      </c>
      <c r="D131" s="61" t="s">
        <v>291</v>
      </c>
      <c r="F131" s="12" t="s">
        <v>9</v>
      </c>
      <c r="G131" s="62">
        <v>250.0</v>
      </c>
      <c r="H131" s="62">
        <v>150.0</v>
      </c>
      <c r="I131" s="62">
        <v>8.0</v>
      </c>
      <c r="K131" s="62">
        <v>2.0</v>
      </c>
      <c r="L131" s="62">
        <v>0.0</v>
      </c>
      <c r="N131" s="12" t="s">
        <v>80</v>
      </c>
      <c r="O131" s="12" t="s">
        <v>22</v>
      </c>
      <c r="P131" s="62">
        <v>0.1</v>
      </c>
      <c r="Q131" s="62">
        <v>0.05</v>
      </c>
      <c r="R131" s="62">
        <v>0.0</v>
      </c>
      <c r="S131" s="62">
        <v>0.0</v>
      </c>
      <c r="T131" s="63">
        <v>605.0</v>
      </c>
      <c r="U131" s="62">
        <v>60.41570273489023</v>
      </c>
      <c r="V131" s="62">
        <v>33.22863650418963</v>
      </c>
      <c r="W131" s="62">
        <v>700.0</v>
      </c>
      <c r="X131" s="62">
        <v>670.0</v>
      </c>
      <c r="Z131" s="62">
        <v>670.0</v>
      </c>
      <c r="AA131" s="62">
        <v>0.3</v>
      </c>
      <c r="AB131" s="62">
        <v>205.0</v>
      </c>
      <c r="AC131" s="62">
        <v>240.0</v>
      </c>
      <c r="AD131" s="62">
        <v>470.0</v>
      </c>
      <c r="AE131" s="62">
        <v>520.0</v>
      </c>
      <c r="AF131" s="62">
        <v>545.0</v>
      </c>
    </row>
    <row r="132" ht="15.75" customHeight="1">
      <c r="A132" s="12" t="s">
        <v>65</v>
      </c>
      <c r="B132" s="12" t="s">
        <v>285</v>
      </c>
      <c r="C132" s="12" t="s">
        <v>292</v>
      </c>
      <c r="D132" s="61" t="s">
        <v>293</v>
      </c>
      <c r="F132" s="12" t="s">
        <v>79</v>
      </c>
      <c r="G132" s="62">
        <v>10.0</v>
      </c>
      <c r="I132" s="62">
        <v>1.0</v>
      </c>
      <c r="L132" s="62">
        <v>0.0</v>
      </c>
      <c r="N132" s="12" t="s">
        <v>80</v>
      </c>
      <c r="O132" s="12" t="s">
        <v>71</v>
      </c>
      <c r="P132" s="62">
        <v>0.1</v>
      </c>
      <c r="Q132" s="62">
        <v>0.05</v>
      </c>
      <c r="R132" s="62">
        <v>0.0</v>
      </c>
      <c r="S132" s="62">
        <v>0.0</v>
      </c>
      <c r="T132" s="63">
        <v>85.0</v>
      </c>
      <c r="U132" s="62">
        <v>8.365863936258474</v>
      </c>
      <c r="V132" s="62">
        <v>4.601225164942161</v>
      </c>
      <c r="W132" s="62">
        <v>100.0</v>
      </c>
      <c r="X132" s="62">
        <v>95.0</v>
      </c>
      <c r="Y132" s="62">
        <v>0.1</v>
      </c>
      <c r="Z132" s="62">
        <v>90.0</v>
      </c>
      <c r="AA132" s="62">
        <v>0.3</v>
      </c>
      <c r="AB132" s="62">
        <v>30.0</v>
      </c>
      <c r="AC132" s="62">
        <v>35.0</v>
      </c>
      <c r="AD132" s="62">
        <v>65.0</v>
      </c>
      <c r="AE132" s="62">
        <v>70.0</v>
      </c>
      <c r="AF132" s="62">
        <v>75.0</v>
      </c>
    </row>
    <row r="133" ht="15.75" customHeight="1">
      <c r="A133" s="12" t="s">
        <v>65</v>
      </c>
      <c r="B133" s="12" t="s">
        <v>294</v>
      </c>
      <c r="C133" s="12" t="s">
        <v>295</v>
      </c>
      <c r="D133" s="61" t="s">
        <v>296</v>
      </c>
      <c r="F133" s="12" t="s">
        <v>9</v>
      </c>
      <c r="G133" s="62">
        <v>250.0</v>
      </c>
      <c r="I133" s="62">
        <v>8.0</v>
      </c>
      <c r="L133" s="62">
        <v>0.0</v>
      </c>
      <c r="N133" s="12" t="s">
        <v>70</v>
      </c>
      <c r="O133" s="12" t="s">
        <v>22</v>
      </c>
      <c r="P133" s="62">
        <v>0.1</v>
      </c>
      <c r="Q133" s="62">
        <v>0.05</v>
      </c>
      <c r="R133" s="62">
        <v>0.0</v>
      </c>
      <c r="S133" s="62">
        <v>0.0</v>
      </c>
      <c r="T133" s="63">
        <v>465.0</v>
      </c>
      <c r="U133" s="62">
        <v>46.2674441423286</v>
      </c>
      <c r="V133" s="62">
        <v>25.44709427828073</v>
      </c>
      <c r="W133" s="62">
        <v>535.0</v>
      </c>
      <c r="X133" s="62">
        <v>515.0</v>
      </c>
      <c r="Y133" s="62">
        <v>0.1</v>
      </c>
      <c r="Z133" s="62">
        <v>470.0</v>
      </c>
      <c r="AA133" s="62">
        <v>0.3</v>
      </c>
      <c r="AB133" s="62">
        <v>145.0</v>
      </c>
      <c r="AC133" s="62">
        <v>170.0</v>
      </c>
      <c r="AD133" s="62">
        <v>330.0</v>
      </c>
      <c r="AE133" s="62">
        <v>365.0</v>
      </c>
      <c r="AF133" s="62">
        <v>380.0</v>
      </c>
    </row>
    <row r="134" ht="15.75" customHeight="1">
      <c r="A134" s="12" t="s">
        <v>65</v>
      </c>
      <c r="B134" s="12" t="s">
        <v>294</v>
      </c>
      <c r="C134" s="12" t="s">
        <v>295</v>
      </c>
      <c r="D134" s="61" t="s">
        <v>297</v>
      </c>
      <c r="F134" s="12" t="s">
        <v>9</v>
      </c>
      <c r="G134" s="62">
        <v>250.0</v>
      </c>
      <c r="I134" s="62">
        <v>9.0</v>
      </c>
      <c r="L134" s="62">
        <v>0.0</v>
      </c>
      <c r="N134" s="12" t="s">
        <v>70</v>
      </c>
      <c r="O134" s="12" t="s">
        <v>22</v>
      </c>
      <c r="P134" s="62">
        <v>0.1</v>
      </c>
      <c r="Q134" s="62">
        <v>0.05</v>
      </c>
      <c r="R134" s="62">
        <v>0.0</v>
      </c>
      <c r="S134" s="62">
        <v>0.0</v>
      </c>
      <c r="T134" s="63">
        <v>500.0</v>
      </c>
      <c r="U134" s="62">
        <v>49.672542806015876</v>
      </c>
      <c r="V134" s="62">
        <v>27.319898543308728</v>
      </c>
      <c r="W134" s="62">
        <v>575.0</v>
      </c>
      <c r="X134" s="62">
        <v>550.0</v>
      </c>
      <c r="Y134" s="62">
        <v>0.1</v>
      </c>
      <c r="Z134" s="62">
        <v>500.0</v>
      </c>
      <c r="AA134" s="62">
        <v>0.3</v>
      </c>
      <c r="AB134" s="62">
        <v>150.0</v>
      </c>
      <c r="AC134" s="62">
        <v>175.0</v>
      </c>
      <c r="AD134" s="62">
        <v>350.0</v>
      </c>
      <c r="AE134" s="62">
        <v>385.0</v>
      </c>
      <c r="AF134" s="62">
        <v>405.0</v>
      </c>
    </row>
    <row r="135" ht="15.75" customHeight="1">
      <c r="A135" s="12" t="s">
        <v>65</v>
      </c>
      <c r="B135" s="12" t="s">
        <v>298</v>
      </c>
      <c r="C135" s="12" t="s">
        <v>299</v>
      </c>
      <c r="D135" s="61" t="s">
        <v>300</v>
      </c>
      <c r="F135" s="12" t="s">
        <v>69</v>
      </c>
      <c r="G135" s="62">
        <v>500.0</v>
      </c>
      <c r="I135" s="62">
        <v>10.0</v>
      </c>
      <c r="L135" s="62">
        <v>30.0</v>
      </c>
      <c r="N135" s="12" t="s">
        <v>80</v>
      </c>
      <c r="O135" s="12" t="s">
        <v>71</v>
      </c>
      <c r="P135" s="62">
        <v>0.1</v>
      </c>
      <c r="Q135" s="62">
        <v>0.05</v>
      </c>
      <c r="R135" s="62">
        <v>0.0</v>
      </c>
      <c r="S135" s="62">
        <v>0.0</v>
      </c>
      <c r="T135" s="63">
        <v>985.0</v>
      </c>
      <c r="U135" s="62">
        <v>98.24374833587366</v>
      </c>
      <c r="V135" s="62">
        <v>54.034061584730516</v>
      </c>
      <c r="W135" s="62">
        <v>1135.0</v>
      </c>
      <c r="X135" s="62">
        <v>1085.0</v>
      </c>
      <c r="Y135" s="62">
        <v>0.1</v>
      </c>
      <c r="Z135" s="62">
        <v>990.0</v>
      </c>
      <c r="AA135" s="62">
        <v>0.3</v>
      </c>
      <c r="AB135" s="62">
        <v>300.0</v>
      </c>
      <c r="AC135" s="62">
        <v>350.0</v>
      </c>
      <c r="AD135" s="62">
        <v>695.0</v>
      </c>
      <c r="AE135" s="62">
        <v>765.0</v>
      </c>
      <c r="AF135" s="62">
        <v>805.0</v>
      </c>
    </row>
    <row r="136" ht="15.75" customHeight="1">
      <c r="A136" s="12" t="s">
        <v>65</v>
      </c>
      <c r="B136" s="12" t="s">
        <v>301</v>
      </c>
      <c r="C136" s="12" t="s">
        <v>302</v>
      </c>
      <c r="D136" s="61" t="s">
        <v>303</v>
      </c>
      <c r="F136" s="12" t="s">
        <v>79</v>
      </c>
      <c r="G136" s="62">
        <v>150.0</v>
      </c>
      <c r="I136" s="62">
        <v>3.0</v>
      </c>
      <c r="L136" s="62">
        <v>0.0</v>
      </c>
      <c r="N136" s="12" t="s">
        <v>20</v>
      </c>
      <c r="O136" s="12" t="s">
        <v>71</v>
      </c>
      <c r="P136" s="62">
        <v>0.1</v>
      </c>
      <c r="Q136" s="62">
        <v>0.05</v>
      </c>
      <c r="R136" s="62">
        <v>0.0</v>
      </c>
      <c r="S136" s="62">
        <v>0.0</v>
      </c>
      <c r="T136" s="63">
        <v>200.0</v>
      </c>
      <c r="U136" s="62">
        <v>19.82069919079106</v>
      </c>
      <c r="V136" s="62">
        <v>10.901384554935083</v>
      </c>
      <c r="W136" s="62">
        <v>230.0</v>
      </c>
      <c r="X136" s="62">
        <v>220.0</v>
      </c>
      <c r="Y136" s="62">
        <v>0.1</v>
      </c>
      <c r="Z136" s="62">
        <v>200.0</v>
      </c>
      <c r="AA136" s="62">
        <v>0.3</v>
      </c>
      <c r="AB136" s="62">
        <v>60.0</v>
      </c>
      <c r="AC136" s="62">
        <v>70.0</v>
      </c>
      <c r="AD136" s="62">
        <v>140.0</v>
      </c>
      <c r="AE136" s="62">
        <v>155.0</v>
      </c>
      <c r="AF136" s="62">
        <v>165.0</v>
      </c>
    </row>
    <row r="137" ht="15.75" customHeight="1">
      <c r="A137" s="12" t="s">
        <v>65</v>
      </c>
      <c r="B137" s="12" t="s">
        <v>301</v>
      </c>
      <c r="C137" s="12" t="s">
        <v>304</v>
      </c>
      <c r="D137" s="61" t="s">
        <v>305</v>
      </c>
      <c r="F137" s="12" t="s">
        <v>79</v>
      </c>
      <c r="G137" s="62">
        <v>150.0</v>
      </c>
      <c r="H137" s="62">
        <v>25.0</v>
      </c>
      <c r="I137" s="62">
        <v>3.0</v>
      </c>
      <c r="K137" s="62">
        <v>1.0</v>
      </c>
      <c r="L137" s="62">
        <v>0.0</v>
      </c>
      <c r="N137" s="12" t="s">
        <v>80</v>
      </c>
      <c r="O137" s="12" t="s">
        <v>22</v>
      </c>
      <c r="P137" s="62">
        <v>0.1</v>
      </c>
      <c r="Q137" s="62">
        <v>0.05</v>
      </c>
      <c r="R137" s="62">
        <v>0.0</v>
      </c>
      <c r="S137" s="62">
        <v>0.0</v>
      </c>
      <c r="T137" s="63">
        <v>250.0</v>
      </c>
      <c r="U137" s="62">
        <v>24.555180135877393</v>
      </c>
      <c r="V137" s="62">
        <v>13.505349074732568</v>
      </c>
      <c r="W137" s="62">
        <v>285.0</v>
      </c>
      <c r="X137" s="62">
        <v>275.0</v>
      </c>
      <c r="Y137" s="62">
        <v>0.1</v>
      </c>
      <c r="Z137" s="62">
        <v>250.0</v>
      </c>
      <c r="AA137" s="62">
        <v>0.3</v>
      </c>
      <c r="AB137" s="62">
        <v>75.0</v>
      </c>
      <c r="AC137" s="62">
        <v>90.0</v>
      </c>
      <c r="AD137" s="62">
        <v>175.0</v>
      </c>
      <c r="AE137" s="62">
        <v>195.0</v>
      </c>
      <c r="AF137" s="62">
        <v>205.0</v>
      </c>
    </row>
    <row r="138" ht="15.75" customHeight="1">
      <c r="A138" s="12" t="s">
        <v>65</v>
      </c>
      <c r="B138" s="12" t="s">
        <v>301</v>
      </c>
      <c r="C138" s="12" t="s">
        <v>304</v>
      </c>
      <c r="D138" s="61" t="s">
        <v>306</v>
      </c>
      <c r="F138" s="12" t="s">
        <v>79</v>
      </c>
      <c r="G138" s="62">
        <v>150.0</v>
      </c>
      <c r="H138" s="62">
        <v>25.0</v>
      </c>
      <c r="I138" s="62">
        <v>3.0</v>
      </c>
      <c r="K138" s="62">
        <v>1.0</v>
      </c>
      <c r="L138" s="62">
        <v>0.0</v>
      </c>
      <c r="N138" s="12" t="s">
        <v>80</v>
      </c>
      <c r="O138" s="12" t="s">
        <v>22</v>
      </c>
      <c r="P138" s="62">
        <v>0.1</v>
      </c>
      <c r="Q138" s="62">
        <v>0.05</v>
      </c>
      <c r="R138" s="62">
        <v>0.0</v>
      </c>
      <c r="S138" s="62">
        <v>0.0</v>
      </c>
      <c r="T138" s="63">
        <v>250.0</v>
      </c>
      <c r="U138" s="62">
        <v>24.555180135877393</v>
      </c>
      <c r="V138" s="62">
        <v>13.505349074732568</v>
      </c>
      <c r="W138" s="62">
        <v>285.0</v>
      </c>
      <c r="X138" s="62">
        <v>275.0</v>
      </c>
      <c r="Y138" s="62">
        <v>0.1</v>
      </c>
      <c r="Z138" s="62">
        <v>250.0</v>
      </c>
      <c r="AA138" s="62">
        <v>0.3</v>
      </c>
      <c r="AB138" s="62">
        <v>75.0</v>
      </c>
      <c r="AC138" s="62">
        <v>90.0</v>
      </c>
      <c r="AD138" s="62">
        <v>175.0</v>
      </c>
      <c r="AE138" s="62">
        <v>195.0</v>
      </c>
      <c r="AF138" s="62">
        <v>205.0</v>
      </c>
    </row>
    <row r="139" ht="15.75" customHeight="1">
      <c r="A139" s="12" t="s">
        <v>65</v>
      </c>
      <c r="B139" s="12" t="s">
        <v>301</v>
      </c>
      <c r="C139" s="12" t="s">
        <v>307</v>
      </c>
      <c r="D139" s="61" t="s">
        <v>308</v>
      </c>
      <c r="F139" s="12" t="s">
        <v>69</v>
      </c>
      <c r="G139" s="62">
        <v>250.0</v>
      </c>
      <c r="H139" s="62">
        <v>150.0</v>
      </c>
      <c r="I139" s="62">
        <v>10.0</v>
      </c>
      <c r="K139" s="62">
        <v>2.0</v>
      </c>
      <c r="L139" s="62">
        <v>0.0</v>
      </c>
      <c r="N139" s="12" t="s">
        <v>80</v>
      </c>
      <c r="O139" s="12" t="s">
        <v>71</v>
      </c>
      <c r="P139" s="62">
        <v>0.1</v>
      </c>
      <c r="Q139" s="62">
        <v>0.05</v>
      </c>
      <c r="R139" s="62">
        <v>0.0</v>
      </c>
      <c r="S139" s="62">
        <v>0.0</v>
      </c>
      <c r="T139" s="63">
        <v>795.0</v>
      </c>
      <c r="U139" s="62">
        <v>79.19206225515578</v>
      </c>
      <c r="V139" s="62">
        <v>43.55563424033568</v>
      </c>
      <c r="W139" s="62">
        <v>915.0</v>
      </c>
      <c r="X139" s="62">
        <v>875.0</v>
      </c>
      <c r="Y139" s="62">
        <v>0.1</v>
      </c>
      <c r="Z139" s="62">
        <v>800.0</v>
      </c>
      <c r="AA139" s="62">
        <v>0.3</v>
      </c>
      <c r="AB139" s="62">
        <v>240.0</v>
      </c>
      <c r="AC139" s="62">
        <v>280.0</v>
      </c>
      <c r="AD139" s="62">
        <v>560.0</v>
      </c>
      <c r="AE139" s="62">
        <v>620.0</v>
      </c>
      <c r="AF139" s="62">
        <v>650.0</v>
      </c>
    </row>
    <row r="140" ht="15.75" customHeight="1">
      <c r="A140" s="12" t="s">
        <v>65</v>
      </c>
      <c r="B140" s="12" t="s">
        <v>309</v>
      </c>
      <c r="C140" s="12" t="s">
        <v>310</v>
      </c>
      <c r="D140" s="61" t="s">
        <v>311</v>
      </c>
      <c r="F140" s="12" t="s">
        <v>92</v>
      </c>
      <c r="G140" s="62">
        <v>150.0</v>
      </c>
      <c r="I140" s="62">
        <v>4.0</v>
      </c>
      <c r="L140" s="62">
        <v>0.0</v>
      </c>
      <c r="N140" s="12" t="s">
        <v>80</v>
      </c>
      <c r="O140" s="12" t="s">
        <v>71</v>
      </c>
      <c r="P140" s="62">
        <v>0.1</v>
      </c>
      <c r="Q140" s="62">
        <v>0.05</v>
      </c>
      <c r="R140" s="62">
        <v>0.0</v>
      </c>
      <c r="S140" s="62">
        <v>0.0</v>
      </c>
      <c r="T140" s="63">
        <v>335.0</v>
      </c>
      <c r="U140" s="62">
        <v>33.420166551434264</v>
      </c>
      <c r="V140" s="62">
        <v>18.381091603288844</v>
      </c>
      <c r="W140" s="62">
        <v>390.0</v>
      </c>
      <c r="X140" s="62">
        <v>370.0</v>
      </c>
      <c r="Y140" s="62">
        <v>0.1</v>
      </c>
      <c r="Z140" s="62">
        <v>340.0</v>
      </c>
      <c r="AA140" s="62">
        <v>0.3</v>
      </c>
      <c r="AB140" s="62">
        <v>105.0</v>
      </c>
      <c r="AC140" s="62">
        <v>125.0</v>
      </c>
      <c r="AD140" s="62">
        <v>240.0</v>
      </c>
      <c r="AE140" s="62">
        <v>265.0</v>
      </c>
      <c r="AF140" s="62">
        <v>275.0</v>
      </c>
    </row>
    <row r="141" ht="15.75" customHeight="1">
      <c r="A141" s="12" t="s">
        <v>65</v>
      </c>
      <c r="B141" s="12" t="s">
        <v>312</v>
      </c>
      <c r="C141" s="12" t="s">
        <v>313</v>
      </c>
      <c r="D141" s="61" t="s">
        <v>314</v>
      </c>
      <c r="F141" s="12" t="s">
        <v>79</v>
      </c>
      <c r="G141" s="62">
        <v>80.0</v>
      </c>
      <c r="H141" s="62">
        <v>135.0</v>
      </c>
      <c r="I141" s="62">
        <v>2.0</v>
      </c>
      <c r="K141" s="62">
        <v>2.0</v>
      </c>
      <c r="L141" s="62">
        <v>0.0</v>
      </c>
      <c r="N141" s="12" t="s">
        <v>70</v>
      </c>
      <c r="O141" s="12" t="s">
        <v>71</v>
      </c>
      <c r="P141" s="62">
        <v>0.1</v>
      </c>
      <c r="Q141" s="62">
        <v>0.05</v>
      </c>
      <c r="R141" s="62">
        <v>0.0</v>
      </c>
      <c r="S141" s="62">
        <v>0.0</v>
      </c>
      <c r="T141" s="63">
        <v>255.0</v>
      </c>
      <c r="U141" s="62">
        <v>25.46873166439611</v>
      </c>
      <c r="V141" s="62">
        <v>14.00780241541786</v>
      </c>
      <c r="W141" s="62">
        <v>295.0</v>
      </c>
      <c r="X141" s="62">
        <v>285.0</v>
      </c>
      <c r="Y141" s="62">
        <v>0.1</v>
      </c>
      <c r="Z141" s="62">
        <v>260.0</v>
      </c>
      <c r="AA141" s="62">
        <v>0.3</v>
      </c>
      <c r="AB141" s="62">
        <v>80.0</v>
      </c>
      <c r="AC141" s="62">
        <v>95.0</v>
      </c>
      <c r="AD141" s="62">
        <v>185.0</v>
      </c>
      <c r="AE141" s="62">
        <v>205.0</v>
      </c>
      <c r="AF141" s="62">
        <v>215.0</v>
      </c>
    </row>
    <row r="142" ht="15.75" customHeight="1">
      <c r="A142" s="12" t="s">
        <v>65</v>
      </c>
      <c r="B142" s="12" t="s">
        <v>315</v>
      </c>
      <c r="C142" s="12" t="s">
        <v>316</v>
      </c>
      <c r="D142" s="61" t="s">
        <v>317</v>
      </c>
      <c r="F142" s="12" t="s">
        <v>9</v>
      </c>
      <c r="G142" s="62">
        <v>250.0</v>
      </c>
      <c r="H142" s="62">
        <v>150.0</v>
      </c>
      <c r="I142" s="62">
        <v>8.0</v>
      </c>
      <c r="K142" s="62">
        <v>3.0</v>
      </c>
      <c r="L142" s="62">
        <v>0.0</v>
      </c>
      <c r="N142" s="12" t="s">
        <v>80</v>
      </c>
      <c r="O142" s="12" t="s">
        <v>76</v>
      </c>
      <c r="P142" s="62">
        <v>0.1</v>
      </c>
      <c r="Q142" s="62">
        <v>0.05</v>
      </c>
      <c r="R142" s="62">
        <v>0.0</v>
      </c>
      <c r="S142" s="62">
        <v>0.0</v>
      </c>
      <c r="T142" s="63">
        <v>895.0</v>
      </c>
      <c r="U142" s="62">
        <v>89.44124503749211</v>
      </c>
      <c r="V142" s="62">
        <v>49.19268477062066</v>
      </c>
      <c r="W142" s="62">
        <v>1035.0</v>
      </c>
      <c r="X142" s="62">
        <v>985.0</v>
      </c>
      <c r="Y142" s="62">
        <v>0.1</v>
      </c>
      <c r="Z142" s="62">
        <v>900.0</v>
      </c>
      <c r="AA142" s="62">
        <v>0.3</v>
      </c>
      <c r="AB142" s="62">
        <v>270.0</v>
      </c>
      <c r="AC142" s="62">
        <v>315.0</v>
      </c>
      <c r="AD142" s="62">
        <v>630.0</v>
      </c>
      <c r="AE142" s="62">
        <v>695.0</v>
      </c>
      <c r="AF142" s="62">
        <v>730.0</v>
      </c>
    </row>
    <row r="143" ht="15.75" customHeight="1">
      <c r="A143" s="12" t="s">
        <v>65</v>
      </c>
      <c r="B143" s="12" t="s">
        <v>315</v>
      </c>
      <c r="C143" s="12" t="s">
        <v>316</v>
      </c>
      <c r="D143" s="61" t="s">
        <v>318</v>
      </c>
      <c r="F143" s="12" t="s">
        <v>9</v>
      </c>
      <c r="G143" s="62">
        <v>250.0</v>
      </c>
      <c r="H143" s="62">
        <v>150.0</v>
      </c>
      <c r="I143" s="62">
        <v>8.0</v>
      </c>
      <c r="K143" s="62">
        <v>3.0</v>
      </c>
      <c r="L143" s="62">
        <v>0.0</v>
      </c>
      <c r="N143" s="12" t="s">
        <v>80</v>
      </c>
      <c r="O143" s="12" t="s">
        <v>76</v>
      </c>
      <c r="P143" s="62">
        <v>0.1</v>
      </c>
      <c r="Q143" s="62">
        <v>0.05</v>
      </c>
      <c r="R143" s="62">
        <v>0.0</v>
      </c>
      <c r="S143" s="62">
        <v>0.0</v>
      </c>
      <c r="T143" s="63">
        <v>895.0</v>
      </c>
      <c r="U143" s="62">
        <v>89.44124503749211</v>
      </c>
      <c r="V143" s="62">
        <v>49.19268477062066</v>
      </c>
      <c r="W143" s="62">
        <v>1035.0</v>
      </c>
      <c r="X143" s="62">
        <v>985.0</v>
      </c>
      <c r="Y143" s="62">
        <v>0.1</v>
      </c>
      <c r="Z143" s="62">
        <v>900.0</v>
      </c>
      <c r="AA143" s="62">
        <v>0.3</v>
      </c>
      <c r="AB143" s="62">
        <v>270.0</v>
      </c>
      <c r="AC143" s="62">
        <v>315.0</v>
      </c>
      <c r="AD143" s="62">
        <v>630.0</v>
      </c>
      <c r="AE143" s="62">
        <v>695.0</v>
      </c>
      <c r="AF143" s="62">
        <v>730.0</v>
      </c>
    </row>
    <row r="144" ht="15.75" customHeight="1">
      <c r="A144" s="12" t="s">
        <v>65</v>
      </c>
      <c r="B144" s="12" t="s">
        <v>315</v>
      </c>
      <c r="C144" s="12" t="s">
        <v>316</v>
      </c>
      <c r="D144" s="61" t="s">
        <v>319</v>
      </c>
      <c r="F144" s="12" t="s">
        <v>9</v>
      </c>
      <c r="G144" s="62">
        <v>250.0</v>
      </c>
      <c r="H144" s="62">
        <v>150.0</v>
      </c>
      <c r="I144" s="62">
        <v>10.0</v>
      </c>
      <c r="K144" s="62">
        <v>3.0</v>
      </c>
      <c r="L144" s="62">
        <v>0.0</v>
      </c>
      <c r="N144" s="12" t="s">
        <v>80</v>
      </c>
      <c r="O144" s="12" t="s">
        <v>76</v>
      </c>
      <c r="P144" s="62">
        <v>0.1</v>
      </c>
      <c r="Q144" s="62">
        <v>0.05</v>
      </c>
      <c r="R144" s="62">
        <v>0.0</v>
      </c>
      <c r="S144" s="62">
        <v>0.0</v>
      </c>
      <c r="T144" s="63">
        <v>1000.0</v>
      </c>
      <c r="U144" s="62">
        <v>99.95077470618692</v>
      </c>
      <c r="V144" s="62">
        <v>54.9729260884028</v>
      </c>
      <c r="W144" s="62">
        <v>1155.0</v>
      </c>
      <c r="X144" s="62">
        <v>1100.0</v>
      </c>
      <c r="Y144" s="62">
        <v>0.1</v>
      </c>
      <c r="Z144" s="62">
        <v>1000.0</v>
      </c>
      <c r="AA144" s="62">
        <v>0.3</v>
      </c>
      <c r="AB144" s="62">
        <v>300.0</v>
      </c>
      <c r="AC144" s="62">
        <v>350.0</v>
      </c>
      <c r="AD144" s="62">
        <v>700.0</v>
      </c>
      <c r="AE144" s="62">
        <v>770.0</v>
      </c>
      <c r="AF144" s="62">
        <v>810.0</v>
      </c>
    </row>
    <row r="145" ht="15.75" customHeight="1">
      <c r="A145" s="12" t="s">
        <v>65</v>
      </c>
      <c r="B145" s="12" t="s">
        <v>320</v>
      </c>
      <c r="C145" s="12" t="s">
        <v>321</v>
      </c>
      <c r="D145" s="61" t="s">
        <v>322</v>
      </c>
      <c r="F145" s="12" t="s">
        <v>9</v>
      </c>
      <c r="G145" s="62">
        <v>300.0</v>
      </c>
      <c r="I145" s="62">
        <v>8.0</v>
      </c>
      <c r="K145" s="62">
        <v>2.0</v>
      </c>
      <c r="L145" s="62">
        <v>0.0</v>
      </c>
      <c r="N145" s="12" t="s">
        <v>70</v>
      </c>
      <c r="O145" s="12" t="s">
        <v>22</v>
      </c>
      <c r="P145" s="62">
        <v>0.1</v>
      </c>
      <c r="Q145" s="62">
        <v>0.05</v>
      </c>
      <c r="R145" s="62">
        <v>0.0</v>
      </c>
      <c r="S145" s="62">
        <v>0.0</v>
      </c>
      <c r="T145" s="63">
        <v>600.0</v>
      </c>
      <c r="U145" s="62">
        <v>59.75827100068668</v>
      </c>
      <c r="V145" s="62">
        <v>32.86704905037768</v>
      </c>
      <c r="W145" s="62">
        <v>695.0</v>
      </c>
      <c r="X145" s="62">
        <v>660.0</v>
      </c>
      <c r="Y145" s="62">
        <v>0.1</v>
      </c>
      <c r="Z145" s="62">
        <v>600.0</v>
      </c>
      <c r="AA145" s="62">
        <v>0.3</v>
      </c>
      <c r="AB145" s="62">
        <v>180.0</v>
      </c>
      <c r="AC145" s="62">
        <v>210.0</v>
      </c>
      <c r="AD145" s="62">
        <v>420.0</v>
      </c>
      <c r="AE145" s="62">
        <v>465.0</v>
      </c>
      <c r="AF145" s="62">
        <v>490.0</v>
      </c>
    </row>
    <row r="146" ht="15.75" customHeight="1">
      <c r="A146" s="12" t="s">
        <v>65</v>
      </c>
      <c r="B146" s="12" t="s">
        <v>323</v>
      </c>
      <c r="C146" s="12" t="s">
        <v>324</v>
      </c>
      <c r="D146" s="61" t="s">
        <v>325</v>
      </c>
      <c r="F146" s="12" t="s">
        <v>92</v>
      </c>
      <c r="G146" s="62">
        <v>150.0</v>
      </c>
      <c r="H146" s="62">
        <v>150.0</v>
      </c>
      <c r="I146" s="62">
        <v>6.0</v>
      </c>
      <c r="K146" s="62">
        <v>2.0</v>
      </c>
      <c r="L146" s="62">
        <v>0.0</v>
      </c>
      <c r="N146" s="12" t="s">
        <v>70</v>
      </c>
      <c r="O146" s="12" t="s">
        <v>22</v>
      </c>
      <c r="P146" s="62">
        <v>0.1</v>
      </c>
      <c r="Q146" s="62">
        <v>0.05</v>
      </c>
      <c r="R146" s="62">
        <v>0.0</v>
      </c>
      <c r="S146" s="62">
        <v>0.0</v>
      </c>
      <c r="T146" s="63">
        <v>430.0</v>
      </c>
      <c r="U146" s="62">
        <v>42.89714595039283</v>
      </c>
      <c r="V146" s="62">
        <v>23.59343027271606</v>
      </c>
      <c r="W146" s="62">
        <v>500.0</v>
      </c>
      <c r="X146" s="62">
        <v>475.0</v>
      </c>
      <c r="Y146" s="62">
        <v>0.1</v>
      </c>
      <c r="Z146" s="62">
        <v>435.0</v>
      </c>
      <c r="AA146" s="62">
        <v>0.3</v>
      </c>
      <c r="AB146" s="62">
        <v>135.0</v>
      </c>
      <c r="AC146" s="62">
        <v>160.0</v>
      </c>
      <c r="AD146" s="62">
        <v>305.0</v>
      </c>
      <c r="AE146" s="62">
        <v>335.0</v>
      </c>
      <c r="AF146" s="62">
        <v>355.0</v>
      </c>
    </row>
    <row r="147" ht="15.75" customHeight="1">
      <c r="T147" s="64"/>
    </row>
    <row r="148" ht="15.75" customHeight="1">
      <c r="T148" s="64"/>
    </row>
    <row r="149" ht="15.75" customHeight="1">
      <c r="T149" s="64"/>
    </row>
    <row r="150" ht="15.75" customHeight="1">
      <c r="T150" s="64"/>
    </row>
    <row r="151" ht="15.75" customHeight="1">
      <c r="T151" s="64"/>
    </row>
    <row r="152" ht="15.75" customHeight="1">
      <c r="T152" s="64"/>
    </row>
    <row r="153" ht="15.75" customHeight="1">
      <c r="T153" s="64"/>
    </row>
    <row r="154" ht="15.75" customHeight="1">
      <c r="T154" s="64"/>
    </row>
    <row r="155" ht="15.75" customHeight="1">
      <c r="T155" s="64"/>
    </row>
    <row r="156" ht="15.75" customHeight="1">
      <c r="T156" s="64"/>
    </row>
    <row r="157" ht="15.75" customHeight="1">
      <c r="T157" s="64"/>
    </row>
    <row r="158" ht="15.75" customHeight="1">
      <c r="T158" s="64"/>
    </row>
    <row r="159" ht="15.75" customHeight="1">
      <c r="T159" s="64"/>
    </row>
    <row r="160" ht="15.75" customHeight="1">
      <c r="T160" s="64"/>
    </row>
    <row r="161" ht="15.75" customHeight="1">
      <c r="T161" s="64"/>
    </row>
    <row r="162" ht="15.75" customHeight="1">
      <c r="T162" s="64"/>
    </row>
    <row r="163" ht="15.75" customHeight="1">
      <c r="T163" s="64"/>
    </row>
    <row r="164" ht="15.75" customHeight="1">
      <c r="T164" s="64"/>
    </row>
    <row r="165" ht="15.75" customHeight="1">
      <c r="T165" s="64"/>
    </row>
    <row r="166" ht="15.75" customHeight="1">
      <c r="T166" s="64"/>
    </row>
    <row r="167" ht="15.75" customHeight="1">
      <c r="T167" s="64"/>
    </row>
    <row r="168" ht="15.75" customHeight="1">
      <c r="T168" s="64"/>
    </row>
    <row r="169" ht="15.75" customHeight="1">
      <c r="T169" s="64"/>
    </row>
    <row r="170" ht="15.75" customHeight="1">
      <c r="T170" s="64"/>
    </row>
    <row r="171" ht="15.75" customHeight="1">
      <c r="T171" s="64"/>
    </row>
    <row r="172" ht="15.75" customHeight="1">
      <c r="T172" s="64"/>
    </row>
    <row r="173" ht="15.75" customHeight="1">
      <c r="T173" s="64"/>
    </row>
    <row r="174" ht="15.75" customHeight="1">
      <c r="T174" s="64"/>
    </row>
    <row r="175" ht="15.75" customHeight="1">
      <c r="T175" s="64"/>
    </row>
    <row r="176" ht="15.75" customHeight="1">
      <c r="T176" s="64"/>
    </row>
    <row r="177" ht="15.75" customHeight="1">
      <c r="T177" s="64"/>
    </row>
    <row r="178" ht="15.75" customHeight="1">
      <c r="T178" s="64"/>
    </row>
    <row r="179" ht="15.75" customHeight="1">
      <c r="T179" s="64"/>
    </row>
    <row r="180" ht="15.75" customHeight="1">
      <c r="T180" s="64"/>
    </row>
    <row r="181" ht="15.75" customHeight="1">
      <c r="T181" s="64"/>
    </row>
    <row r="182" ht="15.75" customHeight="1">
      <c r="T182" s="64"/>
    </row>
    <row r="183" ht="15.75" customHeight="1">
      <c r="T183" s="64"/>
    </row>
    <row r="184" ht="15.75" customHeight="1">
      <c r="T184" s="64"/>
    </row>
    <row r="185" ht="15.75" customHeight="1">
      <c r="T185" s="64"/>
    </row>
    <row r="186" ht="15.75" customHeight="1">
      <c r="T186" s="64"/>
    </row>
    <row r="187" ht="15.75" customHeight="1">
      <c r="T187" s="64"/>
    </row>
    <row r="188" ht="15.75" customHeight="1">
      <c r="T188" s="64"/>
    </row>
    <row r="189" ht="15.75" customHeight="1">
      <c r="T189" s="64"/>
    </row>
    <row r="190" ht="15.75" customHeight="1">
      <c r="T190" s="64"/>
    </row>
    <row r="191" ht="15.75" customHeight="1">
      <c r="T191" s="64"/>
    </row>
    <row r="192" ht="15.75" customHeight="1">
      <c r="T192" s="64"/>
    </row>
    <row r="193" ht="15.75" customHeight="1">
      <c r="T193" s="64"/>
    </row>
    <row r="194" ht="15.75" customHeight="1">
      <c r="T194" s="64"/>
    </row>
    <row r="195" ht="15.75" customHeight="1">
      <c r="T195" s="64"/>
    </row>
    <row r="196" ht="15.75" customHeight="1">
      <c r="T196" s="64"/>
    </row>
    <row r="197" ht="15.75" customHeight="1">
      <c r="T197" s="64"/>
    </row>
    <row r="198" ht="15.75" customHeight="1">
      <c r="T198" s="64"/>
    </row>
    <row r="199" ht="15.75" customHeight="1">
      <c r="T199" s="64"/>
    </row>
    <row r="200" ht="15.75" customHeight="1">
      <c r="T200" s="64"/>
    </row>
    <row r="201" ht="15.75" customHeight="1">
      <c r="T201" s="64"/>
    </row>
    <row r="202" ht="15.75" customHeight="1">
      <c r="T202" s="64"/>
    </row>
    <row r="203" ht="15.75" customHeight="1">
      <c r="T203" s="64"/>
    </row>
    <row r="204" ht="15.75" customHeight="1">
      <c r="T204" s="64"/>
    </row>
    <row r="205" ht="15.75" customHeight="1">
      <c r="T205" s="64"/>
    </row>
    <row r="206" ht="15.75" customHeight="1">
      <c r="T206" s="64"/>
    </row>
    <row r="207" ht="15.75" customHeight="1">
      <c r="T207" s="64"/>
    </row>
    <row r="208" ht="15.75" customHeight="1">
      <c r="T208" s="64"/>
    </row>
    <row r="209" ht="15.75" customHeight="1">
      <c r="T209" s="64"/>
    </row>
    <row r="210" ht="15.75" customHeight="1">
      <c r="T210" s="64"/>
    </row>
    <row r="211" ht="15.75" customHeight="1">
      <c r="T211" s="64"/>
    </row>
    <row r="212" ht="15.75" customHeight="1">
      <c r="T212" s="64"/>
    </row>
    <row r="213" ht="15.75" customHeight="1">
      <c r="T213" s="64"/>
    </row>
    <row r="214" ht="15.75" customHeight="1">
      <c r="T214" s="64"/>
    </row>
    <row r="215" ht="15.75" customHeight="1">
      <c r="T215" s="64"/>
    </row>
    <row r="216" ht="15.75" customHeight="1">
      <c r="T216" s="64"/>
    </row>
    <row r="217" ht="15.75" customHeight="1">
      <c r="T217" s="64"/>
    </row>
    <row r="218" ht="15.75" customHeight="1">
      <c r="T218" s="64"/>
    </row>
    <row r="219" ht="15.75" customHeight="1">
      <c r="T219" s="64"/>
    </row>
    <row r="220" ht="15.75" customHeight="1">
      <c r="T220" s="64"/>
    </row>
    <row r="221" ht="15.75" customHeight="1">
      <c r="T221" s="64"/>
    </row>
    <row r="222" ht="15.75" customHeight="1">
      <c r="T222" s="64"/>
    </row>
    <row r="223" ht="15.75" customHeight="1">
      <c r="T223" s="64"/>
    </row>
    <row r="224" ht="15.75" customHeight="1">
      <c r="T224" s="64"/>
    </row>
    <row r="225" ht="15.75" customHeight="1">
      <c r="T225" s="64"/>
    </row>
    <row r="226" ht="15.75" customHeight="1">
      <c r="T226" s="64"/>
    </row>
    <row r="227" ht="15.75" customHeight="1">
      <c r="T227" s="64"/>
    </row>
    <row r="228" ht="15.75" customHeight="1">
      <c r="T228" s="64"/>
    </row>
    <row r="229" ht="15.75" customHeight="1">
      <c r="T229" s="64"/>
    </row>
    <row r="230" ht="15.75" customHeight="1">
      <c r="T230" s="64"/>
    </row>
    <row r="231" ht="15.75" customHeight="1">
      <c r="T231" s="64"/>
    </row>
    <row r="232" ht="15.75" customHeight="1">
      <c r="T232" s="64"/>
    </row>
    <row r="233" ht="15.75" customHeight="1">
      <c r="T233" s="64"/>
    </row>
    <row r="234" ht="15.75" customHeight="1">
      <c r="T234" s="64"/>
    </row>
    <row r="235" ht="15.75" customHeight="1">
      <c r="T235" s="64"/>
    </row>
    <row r="236" ht="15.75" customHeight="1">
      <c r="T236" s="64"/>
    </row>
    <row r="237" ht="15.75" customHeight="1">
      <c r="T237" s="64"/>
    </row>
    <row r="238" ht="15.75" customHeight="1">
      <c r="T238" s="64"/>
    </row>
    <row r="239" ht="15.75" customHeight="1">
      <c r="T239" s="64"/>
    </row>
    <row r="240" ht="15.75" customHeight="1">
      <c r="T240" s="64"/>
    </row>
    <row r="241" ht="15.75" customHeight="1">
      <c r="T241" s="64"/>
    </row>
    <row r="242" ht="15.75" customHeight="1">
      <c r="T242" s="64"/>
    </row>
    <row r="243" ht="15.75" customHeight="1">
      <c r="T243" s="64"/>
    </row>
    <row r="244" ht="15.75" customHeight="1">
      <c r="T244" s="64"/>
    </row>
    <row r="245" ht="15.75" customHeight="1">
      <c r="T245" s="64"/>
    </row>
    <row r="246" ht="15.75" customHeight="1">
      <c r="T246" s="64"/>
    </row>
    <row r="247" ht="15.75" customHeight="1">
      <c r="T247" s="64"/>
    </row>
    <row r="248" ht="15.75" customHeight="1">
      <c r="T248" s="64"/>
    </row>
    <row r="249" ht="15.75" customHeight="1">
      <c r="T249" s="64"/>
    </row>
    <row r="250" ht="15.75" customHeight="1">
      <c r="T250" s="64"/>
    </row>
    <row r="251" ht="15.75" customHeight="1">
      <c r="T251" s="64"/>
    </row>
    <row r="252" ht="15.75" customHeight="1">
      <c r="T252" s="64"/>
    </row>
    <row r="253" ht="15.75" customHeight="1">
      <c r="T253" s="64"/>
    </row>
    <row r="254" ht="15.75" customHeight="1">
      <c r="T254" s="64"/>
    </row>
    <row r="255" ht="15.75" customHeight="1">
      <c r="T255" s="64"/>
    </row>
    <row r="256" ht="15.75" customHeight="1">
      <c r="T256" s="64"/>
    </row>
    <row r="257" ht="15.75" customHeight="1">
      <c r="T257" s="64"/>
    </row>
    <row r="258" ht="15.75" customHeight="1">
      <c r="T258" s="64"/>
    </row>
    <row r="259" ht="15.75" customHeight="1">
      <c r="T259" s="64"/>
    </row>
    <row r="260" ht="15.75" customHeight="1">
      <c r="T260" s="64"/>
    </row>
    <row r="261" ht="15.75" customHeight="1">
      <c r="T261" s="64"/>
    </row>
    <row r="262" ht="15.75" customHeight="1">
      <c r="T262" s="64"/>
    </row>
    <row r="263" ht="15.75" customHeight="1">
      <c r="T263" s="64"/>
    </row>
    <row r="264" ht="15.75" customHeight="1">
      <c r="T264" s="64"/>
    </row>
    <row r="265" ht="15.75" customHeight="1">
      <c r="T265" s="64"/>
    </row>
    <row r="266" ht="15.75" customHeight="1">
      <c r="T266" s="64"/>
    </row>
    <row r="267" ht="15.75" customHeight="1">
      <c r="T267" s="64"/>
    </row>
    <row r="268" ht="15.75" customHeight="1">
      <c r="T268" s="64"/>
    </row>
    <row r="269" ht="15.75" customHeight="1">
      <c r="T269" s="64"/>
    </row>
    <row r="270" ht="15.75" customHeight="1">
      <c r="T270" s="64"/>
    </row>
    <row r="271" ht="15.75" customHeight="1">
      <c r="T271" s="64"/>
    </row>
    <row r="272" ht="15.75" customHeight="1">
      <c r="T272" s="64"/>
    </row>
    <row r="273" ht="15.75" customHeight="1">
      <c r="T273" s="64"/>
    </row>
    <row r="274" ht="15.75" customHeight="1">
      <c r="T274" s="64"/>
    </row>
    <row r="275" ht="15.75" customHeight="1">
      <c r="T275" s="64"/>
    </row>
    <row r="276" ht="15.75" customHeight="1">
      <c r="T276" s="64"/>
    </row>
    <row r="277" ht="15.75" customHeight="1">
      <c r="T277" s="64"/>
    </row>
    <row r="278" ht="15.75" customHeight="1">
      <c r="T278" s="64"/>
    </row>
    <row r="279" ht="15.75" customHeight="1">
      <c r="T279" s="64"/>
    </row>
    <row r="280" ht="15.75" customHeight="1">
      <c r="T280" s="64"/>
    </row>
    <row r="281" ht="15.75" customHeight="1">
      <c r="T281" s="64"/>
    </row>
    <row r="282" ht="15.75" customHeight="1">
      <c r="T282" s="64"/>
    </row>
    <row r="283" ht="15.75" customHeight="1">
      <c r="T283" s="64"/>
    </row>
    <row r="284" ht="15.75" customHeight="1">
      <c r="T284" s="64"/>
    </row>
    <row r="285" ht="15.75" customHeight="1">
      <c r="T285" s="64"/>
    </row>
    <row r="286" ht="15.75" customHeight="1">
      <c r="T286" s="64"/>
    </row>
    <row r="287" ht="15.75" customHeight="1">
      <c r="T287" s="64"/>
    </row>
    <row r="288" ht="15.75" customHeight="1">
      <c r="T288" s="64"/>
    </row>
    <row r="289" ht="15.75" customHeight="1">
      <c r="T289" s="64"/>
    </row>
    <row r="290" ht="15.75" customHeight="1">
      <c r="T290" s="64"/>
    </row>
    <row r="291" ht="15.75" customHeight="1">
      <c r="T291" s="64"/>
    </row>
    <row r="292" ht="15.75" customHeight="1">
      <c r="T292" s="64"/>
    </row>
    <row r="293" ht="15.75" customHeight="1">
      <c r="T293" s="64"/>
    </row>
    <row r="294" ht="15.75" customHeight="1">
      <c r="T294" s="64"/>
    </row>
    <row r="295" ht="15.75" customHeight="1">
      <c r="T295" s="64"/>
    </row>
    <row r="296" ht="15.75" customHeight="1">
      <c r="T296" s="64"/>
    </row>
    <row r="297" ht="15.75" customHeight="1">
      <c r="T297" s="64"/>
    </row>
    <row r="298" ht="15.75" customHeight="1">
      <c r="T298" s="64"/>
    </row>
    <row r="299" ht="15.75" customHeight="1">
      <c r="T299" s="64"/>
    </row>
    <row r="300" ht="15.75" customHeight="1">
      <c r="T300" s="64"/>
    </row>
    <row r="301" ht="15.75" customHeight="1">
      <c r="T301" s="64"/>
    </row>
    <row r="302" ht="15.75" customHeight="1">
      <c r="T302" s="64"/>
    </row>
    <row r="303" ht="15.75" customHeight="1">
      <c r="T303" s="64"/>
    </row>
    <row r="304" ht="15.75" customHeight="1">
      <c r="T304" s="64"/>
    </row>
    <row r="305" ht="15.75" customHeight="1">
      <c r="T305" s="64"/>
    </row>
    <row r="306" ht="15.75" customHeight="1">
      <c r="T306" s="64"/>
    </row>
    <row r="307" ht="15.75" customHeight="1">
      <c r="T307" s="64"/>
    </row>
    <row r="308" ht="15.75" customHeight="1">
      <c r="T308" s="64"/>
    </row>
    <row r="309" ht="15.75" customHeight="1">
      <c r="T309" s="64"/>
    </row>
    <row r="310" ht="15.75" customHeight="1">
      <c r="T310" s="64"/>
    </row>
    <row r="311" ht="15.75" customHeight="1">
      <c r="T311" s="64"/>
    </row>
    <row r="312" ht="15.75" customHeight="1">
      <c r="T312" s="64"/>
    </row>
    <row r="313" ht="15.75" customHeight="1">
      <c r="T313" s="64"/>
    </row>
    <row r="314" ht="15.75" customHeight="1">
      <c r="T314" s="64"/>
    </row>
    <row r="315" ht="15.75" customHeight="1">
      <c r="T315" s="64"/>
    </row>
    <row r="316" ht="15.75" customHeight="1">
      <c r="T316" s="64"/>
    </row>
    <row r="317" ht="15.75" customHeight="1">
      <c r="T317" s="64"/>
    </row>
    <row r="318" ht="15.75" customHeight="1">
      <c r="T318" s="64"/>
    </row>
    <row r="319" ht="15.75" customHeight="1">
      <c r="T319" s="64"/>
    </row>
    <row r="320" ht="15.75" customHeight="1">
      <c r="T320" s="64"/>
    </row>
    <row r="321" ht="15.75" customHeight="1">
      <c r="T321" s="64"/>
    </row>
    <row r="322" ht="15.75" customHeight="1">
      <c r="T322" s="64"/>
    </row>
    <row r="323" ht="15.75" customHeight="1">
      <c r="T323" s="64"/>
    </row>
    <row r="324" ht="15.75" customHeight="1">
      <c r="T324" s="64"/>
    </row>
    <row r="325" ht="15.75" customHeight="1">
      <c r="T325" s="64"/>
    </row>
    <row r="326" ht="15.75" customHeight="1">
      <c r="T326" s="64"/>
    </row>
    <row r="327" ht="15.75" customHeight="1">
      <c r="T327" s="64"/>
    </row>
    <row r="328" ht="15.75" customHeight="1">
      <c r="T328" s="64"/>
    </row>
    <row r="329" ht="15.75" customHeight="1">
      <c r="T329" s="64"/>
    </row>
    <row r="330" ht="15.75" customHeight="1">
      <c r="T330" s="64"/>
    </row>
    <row r="331" ht="15.75" customHeight="1">
      <c r="T331" s="64"/>
    </row>
    <row r="332" ht="15.75" customHeight="1">
      <c r="T332" s="64"/>
    </row>
    <row r="333" ht="15.75" customHeight="1">
      <c r="T333" s="64"/>
    </row>
    <row r="334" ht="15.75" customHeight="1">
      <c r="T334" s="64"/>
    </row>
    <row r="335" ht="15.75" customHeight="1">
      <c r="T335" s="64"/>
    </row>
    <row r="336" ht="15.75" customHeight="1">
      <c r="T336" s="64"/>
    </row>
    <row r="337" ht="15.75" customHeight="1">
      <c r="T337" s="64"/>
    </row>
    <row r="338" ht="15.75" customHeight="1">
      <c r="T338" s="64"/>
    </row>
    <row r="339" ht="15.75" customHeight="1">
      <c r="T339" s="64"/>
    </row>
    <row r="340" ht="15.75" customHeight="1">
      <c r="T340" s="64"/>
    </row>
    <row r="341" ht="15.75" customHeight="1">
      <c r="T341" s="64"/>
    </row>
    <row r="342" ht="15.75" customHeight="1">
      <c r="T342" s="64"/>
    </row>
    <row r="343" ht="15.75" customHeight="1">
      <c r="T343" s="64"/>
    </row>
    <row r="344" ht="15.75" customHeight="1">
      <c r="T344" s="64"/>
    </row>
    <row r="345" ht="15.75" customHeight="1">
      <c r="T345" s="64"/>
    </row>
    <row r="346" ht="15.75" customHeight="1">
      <c r="T346" s="64"/>
    </row>
    <row r="347" ht="15.75" customHeight="1">
      <c r="T347" s="64"/>
    </row>
    <row r="348" ht="15.75" customHeight="1">
      <c r="T348" s="64"/>
    </row>
    <row r="349" ht="15.75" customHeight="1">
      <c r="T349" s="64"/>
    </row>
    <row r="350" ht="15.75" customHeight="1">
      <c r="T350" s="64"/>
    </row>
    <row r="351" ht="15.75" customHeight="1">
      <c r="T351" s="64"/>
    </row>
    <row r="352" ht="15.75" customHeight="1">
      <c r="T352" s="64"/>
    </row>
    <row r="353" ht="15.75" customHeight="1">
      <c r="T353" s="64"/>
    </row>
    <row r="354" ht="15.75" customHeight="1">
      <c r="T354" s="64"/>
    </row>
    <row r="355" ht="15.75" customHeight="1">
      <c r="T355" s="64"/>
    </row>
    <row r="356" ht="15.75" customHeight="1">
      <c r="T356" s="64"/>
    </row>
    <row r="357" ht="15.75" customHeight="1">
      <c r="T357" s="64"/>
    </row>
    <row r="358" ht="15.75" customHeight="1">
      <c r="T358" s="64"/>
    </row>
    <row r="359" ht="15.75" customHeight="1">
      <c r="T359" s="64"/>
    </row>
    <row r="360" ht="15.75" customHeight="1">
      <c r="T360" s="64"/>
    </row>
    <row r="361" ht="15.75" customHeight="1">
      <c r="T361" s="64"/>
    </row>
    <row r="362" ht="15.75" customHeight="1">
      <c r="T362" s="64"/>
    </row>
    <row r="363" ht="15.75" customHeight="1">
      <c r="T363" s="64"/>
    </row>
    <row r="364" ht="15.75" customHeight="1">
      <c r="T364" s="64"/>
    </row>
    <row r="365" ht="15.75" customHeight="1">
      <c r="T365" s="64"/>
    </row>
    <row r="366" ht="15.75" customHeight="1">
      <c r="T366" s="64"/>
    </row>
    <row r="367" ht="15.75" customHeight="1">
      <c r="T367" s="64"/>
    </row>
    <row r="368" ht="15.75" customHeight="1">
      <c r="T368" s="64"/>
    </row>
    <row r="369" ht="15.75" customHeight="1">
      <c r="T369" s="64"/>
    </row>
    <row r="370" ht="15.75" customHeight="1">
      <c r="T370" s="64"/>
    </row>
    <row r="371" ht="15.75" customHeight="1">
      <c r="T371" s="64"/>
    </row>
    <row r="372" ht="15.75" customHeight="1">
      <c r="T372" s="64"/>
    </row>
    <row r="373" ht="15.75" customHeight="1">
      <c r="T373" s="64"/>
    </row>
    <row r="374" ht="15.75" customHeight="1">
      <c r="T374" s="64"/>
    </row>
    <row r="375" ht="15.75" customHeight="1">
      <c r="T375" s="64"/>
    </row>
    <row r="376" ht="15.75" customHeight="1">
      <c r="T376" s="64"/>
    </row>
    <row r="377" ht="15.75" customHeight="1">
      <c r="T377" s="64"/>
    </row>
    <row r="378" ht="15.75" customHeight="1">
      <c r="T378" s="64"/>
    </row>
    <row r="379" ht="15.75" customHeight="1">
      <c r="T379" s="64"/>
    </row>
    <row r="380" ht="15.75" customHeight="1">
      <c r="T380" s="64"/>
    </row>
    <row r="381" ht="15.75" customHeight="1">
      <c r="T381" s="64"/>
    </row>
    <row r="382" ht="15.75" customHeight="1">
      <c r="T382" s="64"/>
    </row>
    <row r="383" ht="15.75" customHeight="1">
      <c r="T383" s="64"/>
    </row>
    <row r="384" ht="15.75" customHeight="1">
      <c r="T384" s="64"/>
    </row>
    <row r="385" ht="15.75" customHeight="1">
      <c r="T385" s="64"/>
    </row>
    <row r="386" ht="15.75" customHeight="1">
      <c r="T386" s="64"/>
    </row>
    <row r="387" ht="15.75" customHeight="1">
      <c r="T387" s="64"/>
    </row>
    <row r="388" ht="15.75" customHeight="1">
      <c r="T388" s="64"/>
    </row>
    <row r="389" ht="15.75" customHeight="1">
      <c r="T389" s="64"/>
    </row>
    <row r="390" ht="15.75" customHeight="1">
      <c r="T390" s="64"/>
    </row>
    <row r="391" ht="15.75" customHeight="1">
      <c r="T391" s="64"/>
    </row>
    <row r="392" ht="15.75" customHeight="1">
      <c r="T392" s="64"/>
    </row>
    <row r="393" ht="15.75" customHeight="1">
      <c r="T393" s="64"/>
    </row>
    <row r="394" ht="15.75" customHeight="1">
      <c r="T394" s="64"/>
    </row>
    <row r="395" ht="15.75" customHeight="1">
      <c r="T395" s="64"/>
    </row>
    <row r="396" ht="15.75" customHeight="1">
      <c r="T396" s="64"/>
    </row>
    <row r="397" ht="15.75" customHeight="1">
      <c r="T397" s="64"/>
    </row>
    <row r="398" ht="15.75" customHeight="1">
      <c r="T398" s="64"/>
    </row>
    <row r="399" ht="15.75" customHeight="1">
      <c r="T399" s="64"/>
    </row>
    <row r="400" ht="15.75" customHeight="1">
      <c r="T400" s="64"/>
    </row>
    <row r="401" ht="15.75" customHeight="1">
      <c r="T401" s="64"/>
    </row>
    <row r="402" ht="15.75" customHeight="1">
      <c r="T402" s="64"/>
    </row>
    <row r="403" ht="15.75" customHeight="1">
      <c r="T403" s="64"/>
    </row>
    <row r="404" ht="15.75" customHeight="1">
      <c r="T404" s="64"/>
    </row>
    <row r="405" ht="15.75" customHeight="1">
      <c r="T405" s="64"/>
    </row>
    <row r="406" ht="15.75" customHeight="1">
      <c r="T406" s="64"/>
    </row>
    <row r="407" ht="15.75" customHeight="1">
      <c r="T407" s="64"/>
    </row>
    <row r="408" ht="15.75" customHeight="1">
      <c r="T408" s="64"/>
    </row>
    <row r="409" ht="15.75" customHeight="1">
      <c r="T409" s="64"/>
    </row>
    <row r="410" ht="15.75" customHeight="1">
      <c r="T410" s="64"/>
    </row>
    <row r="411" ht="15.75" customHeight="1">
      <c r="T411" s="64"/>
    </row>
    <row r="412" ht="15.75" customHeight="1">
      <c r="T412" s="64"/>
    </row>
    <row r="413" ht="15.75" customHeight="1">
      <c r="T413" s="64"/>
    </row>
    <row r="414" ht="15.75" customHeight="1">
      <c r="T414" s="64"/>
    </row>
    <row r="415" ht="15.75" customHeight="1">
      <c r="T415" s="64"/>
    </row>
    <row r="416" ht="15.75" customHeight="1">
      <c r="T416" s="64"/>
    </row>
    <row r="417" ht="15.75" customHeight="1">
      <c r="T417" s="64"/>
    </row>
    <row r="418" ht="15.75" customHeight="1">
      <c r="T418" s="64"/>
    </row>
    <row r="419" ht="15.75" customHeight="1">
      <c r="T419" s="64"/>
    </row>
    <row r="420" ht="15.75" customHeight="1">
      <c r="T420" s="64"/>
    </row>
    <row r="421" ht="15.75" customHeight="1">
      <c r="T421" s="64"/>
    </row>
    <row r="422" ht="15.75" customHeight="1">
      <c r="T422" s="64"/>
    </row>
    <row r="423" ht="15.75" customHeight="1">
      <c r="T423" s="64"/>
    </row>
    <row r="424" ht="15.75" customHeight="1">
      <c r="T424" s="64"/>
    </row>
    <row r="425" ht="15.75" customHeight="1">
      <c r="T425" s="64"/>
    </row>
    <row r="426" ht="15.75" customHeight="1">
      <c r="T426" s="64"/>
    </row>
    <row r="427" ht="15.75" customHeight="1">
      <c r="T427" s="64"/>
    </row>
    <row r="428" ht="15.75" customHeight="1">
      <c r="T428" s="64"/>
    </row>
    <row r="429" ht="15.75" customHeight="1">
      <c r="T429" s="64"/>
    </row>
    <row r="430" ht="15.75" customHeight="1">
      <c r="T430" s="64"/>
    </row>
    <row r="431" ht="15.75" customHeight="1">
      <c r="T431" s="64"/>
    </row>
    <row r="432" ht="15.75" customHeight="1">
      <c r="T432" s="64"/>
    </row>
    <row r="433" ht="15.75" customHeight="1">
      <c r="T433" s="64"/>
    </row>
    <row r="434" ht="15.75" customHeight="1">
      <c r="T434" s="64"/>
    </row>
    <row r="435" ht="15.75" customHeight="1">
      <c r="T435" s="64"/>
    </row>
    <row r="436" ht="15.75" customHeight="1">
      <c r="T436" s="64"/>
    </row>
    <row r="437" ht="15.75" customHeight="1">
      <c r="T437" s="64"/>
    </row>
    <row r="438" ht="15.75" customHeight="1">
      <c r="T438" s="64"/>
    </row>
    <row r="439" ht="15.75" customHeight="1">
      <c r="T439" s="64"/>
    </row>
    <row r="440" ht="15.75" customHeight="1">
      <c r="T440" s="64"/>
    </row>
    <row r="441" ht="15.75" customHeight="1">
      <c r="T441" s="64"/>
    </row>
    <row r="442" ht="15.75" customHeight="1">
      <c r="T442" s="64"/>
    </row>
    <row r="443" ht="15.75" customHeight="1">
      <c r="T443" s="64"/>
    </row>
    <row r="444" ht="15.75" customHeight="1">
      <c r="T444" s="64"/>
    </row>
    <row r="445" ht="15.75" customHeight="1">
      <c r="T445" s="64"/>
    </row>
    <row r="446" ht="15.75" customHeight="1">
      <c r="T446" s="64"/>
    </row>
    <row r="447" ht="15.75" customHeight="1">
      <c r="T447" s="64"/>
    </row>
    <row r="448" ht="15.75" customHeight="1">
      <c r="T448" s="64"/>
    </row>
    <row r="449" ht="15.75" customHeight="1">
      <c r="T449" s="64"/>
    </row>
    <row r="450" ht="15.75" customHeight="1">
      <c r="T450" s="64"/>
    </row>
    <row r="451" ht="15.75" customHeight="1">
      <c r="T451" s="64"/>
    </row>
    <row r="452" ht="15.75" customHeight="1">
      <c r="T452" s="64"/>
    </row>
    <row r="453" ht="15.75" customHeight="1">
      <c r="T453" s="64"/>
    </row>
    <row r="454" ht="15.75" customHeight="1">
      <c r="T454" s="64"/>
    </row>
    <row r="455" ht="15.75" customHeight="1">
      <c r="T455" s="64"/>
    </row>
    <row r="456" ht="15.75" customHeight="1">
      <c r="T456" s="64"/>
    </row>
    <row r="457" ht="15.75" customHeight="1">
      <c r="T457" s="64"/>
    </row>
    <row r="458" ht="15.75" customHeight="1">
      <c r="T458" s="64"/>
    </row>
    <row r="459" ht="15.75" customHeight="1">
      <c r="T459" s="64"/>
    </row>
    <row r="460" ht="15.75" customHeight="1">
      <c r="T460" s="64"/>
    </row>
    <row r="461" ht="15.75" customHeight="1">
      <c r="T461" s="64"/>
    </row>
    <row r="462" ht="15.75" customHeight="1">
      <c r="T462" s="64"/>
    </row>
    <row r="463" ht="15.75" customHeight="1">
      <c r="T463" s="64"/>
    </row>
    <row r="464" ht="15.75" customHeight="1">
      <c r="T464" s="64"/>
    </row>
    <row r="465" ht="15.75" customHeight="1">
      <c r="T465" s="64"/>
    </row>
    <row r="466" ht="15.75" customHeight="1">
      <c r="T466" s="64"/>
    </row>
    <row r="467" ht="15.75" customHeight="1">
      <c r="T467" s="64"/>
    </row>
    <row r="468" ht="15.75" customHeight="1">
      <c r="T468" s="64"/>
    </row>
    <row r="469" ht="15.75" customHeight="1">
      <c r="T469" s="64"/>
    </row>
    <row r="470" ht="15.75" customHeight="1">
      <c r="T470" s="64"/>
    </row>
    <row r="471" ht="15.75" customHeight="1">
      <c r="T471" s="64"/>
    </row>
    <row r="472" ht="15.75" customHeight="1">
      <c r="T472" s="64"/>
    </row>
    <row r="473" ht="15.75" customHeight="1">
      <c r="T473" s="64"/>
    </row>
    <row r="474" ht="15.75" customHeight="1">
      <c r="T474" s="64"/>
    </row>
    <row r="475" ht="15.75" customHeight="1">
      <c r="T475" s="64"/>
    </row>
    <row r="476" ht="15.75" customHeight="1">
      <c r="T476" s="64"/>
    </row>
    <row r="477" ht="15.75" customHeight="1">
      <c r="T477" s="64"/>
    </row>
    <row r="478" ht="15.75" customHeight="1">
      <c r="T478" s="64"/>
    </row>
    <row r="479" ht="15.75" customHeight="1">
      <c r="T479" s="64"/>
    </row>
    <row r="480" ht="15.75" customHeight="1">
      <c r="T480" s="64"/>
    </row>
    <row r="481" ht="15.75" customHeight="1">
      <c r="T481" s="64"/>
    </row>
    <row r="482" ht="15.75" customHeight="1">
      <c r="T482" s="64"/>
    </row>
    <row r="483" ht="15.75" customHeight="1">
      <c r="T483" s="64"/>
    </row>
    <row r="484" ht="15.75" customHeight="1">
      <c r="T484" s="64"/>
    </row>
    <row r="485" ht="15.75" customHeight="1">
      <c r="T485" s="64"/>
    </row>
    <row r="486" ht="15.75" customHeight="1">
      <c r="T486" s="64"/>
    </row>
    <row r="487" ht="15.75" customHeight="1">
      <c r="T487" s="64"/>
    </row>
    <row r="488" ht="15.75" customHeight="1">
      <c r="T488" s="64"/>
    </row>
    <row r="489" ht="15.75" customHeight="1">
      <c r="T489" s="64"/>
    </row>
    <row r="490" ht="15.75" customHeight="1">
      <c r="T490" s="64"/>
    </row>
    <row r="491" ht="15.75" customHeight="1">
      <c r="T491" s="64"/>
    </row>
    <row r="492" ht="15.75" customHeight="1">
      <c r="T492" s="64"/>
    </row>
    <row r="493" ht="15.75" customHeight="1">
      <c r="T493" s="64"/>
    </row>
    <row r="494" ht="15.75" customHeight="1">
      <c r="T494" s="64"/>
    </row>
    <row r="495" ht="15.75" customHeight="1">
      <c r="T495" s="64"/>
    </row>
    <row r="496" ht="15.75" customHeight="1">
      <c r="T496" s="64"/>
    </row>
    <row r="497" ht="15.75" customHeight="1">
      <c r="T497" s="64"/>
    </row>
    <row r="498" ht="15.75" customHeight="1">
      <c r="T498" s="64"/>
    </row>
    <row r="499" ht="15.75" customHeight="1">
      <c r="T499" s="64"/>
    </row>
    <row r="500" ht="15.75" customHeight="1">
      <c r="T500" s="64"/>
    </row>
    <row r="501" ht="15.75" customHeight="1">
      <c r="T501" s="64"/>
    </row>
    <row r="502" ht="15.75" customHeight="1">
      <c r="T502" s="64"/>
    </row>
    <row r="503" ht="15.75" customHeight="1">
      <c r="T503" s="64"/>
    </row>
    <row r="504" ht="15.75" customHeight="1">
      <c r="T504" s="64"/>
    </row>
    <row r="505" ht="15.75" customHeight="1">
      <c r="T505" s="64"/>
    </row>
    <row r="506" ht="15.75" customHeight="1">
      <c r="T506" s="64"/>
    </row>
    <row r="507" ht="15.75" customHeight="1">
      <c r="T507" s="64"/>
    </row>
    <row r="508" ht="15.75" customHeight="1">
      <c r="T508" s="64"/>
    </row>
    <row r="509" ht="15.75" customHeight="1">
      <c r="T509" s="64"/>
    </row>
    <row r="510" ht="15.75" customHeight="1">
      <c r="T510" s="64"/>
    </row>
    <row r="511" ht="15.75" customHeight="1">
      <c r="T511" s="64"/>
    </row>
    <row r="512" ht="15.75" customHeight="1">
      <c r="T512" s="64"/>
    </row>
    <row r="513" ht="15.75" customHeight="1">
      <c r="T513" s="64"/>
    </row>
    <row r="514" ht="15.75" customHeight="1">
      <c r="T514" s="64"/>
    </row>
    <row r="515" ht="15.75" customHeight="1">
      <c r="T515" s="64"/>
    </row>
    <row r="516" ht="15.75" customHeight="1">
      <c r="T516" s="64"/>
    </row>
    <row r="517" ht="15.75" customHeight="1">
      <c r="T517" s="64"/>
    </row>
    <row r="518" ht="15.75" customHeight="1">
      <c r="T518" s="64"/>
    </row>
    <row r="519" ht="15.75" customHeight="1">
      <c r="T519" s="64"/>
    </row>
    <row r="520" ht="15.75" customHeight="1">
      <c r="T520" s="64"/>
    </row>
    <row r="521" ht="15.75" customHeight="1">
      <c r="T521" s="64"/>
    </row>
    <row r="522" ht="15.75" customHeight="1">
      <c r="T522" s="64"/>
    </row>
    <row r="523" ht="15.75" customHeight="1">
      <c r="T523" s="64"/>
    </row>
    <row r="524" ht="15.75" customHeight="1">
      <c r="T524" s="64"/>
    </row>
    <row r="525" ht="15.75" customHeight="1">
      <c r="T525" s="64"/>
    </row>
    <row r="526" ht="15.75" customHeight="1">
      <c r="T526" s="64"/>
    </row>
    <row r="527" ht="15.75" customHeight="1">
      <c r="T527" s="64"/>
    </row>
    <row r="528" ht="15.75" customHeight="1">
      <c r="T528" s="64"/>
    </row>
    <row r="529" ht="15.75" customHeight="1">
      <c r="T529" s="64"/>
    </row>
    <row r="530" ht="15.75" customHeight="1">
      <c r="T530" s="64"/>
    </row>
    <row r="531" ht="15.75" customHeight="1">
      <c r="T531" s="64"/>
    </row>
    <row r="532" ht="15.75" customHeight="1">
      <c r="T532" s="64"/>
    </row>
    <row r="533" ht="15.75" customHeight="1">
      <c r="T533" s="64"/>
    </row>
    <row r="534" ht="15.75" customHeight="1">
      <c r="T534" s="64"/>
    </row>
    <row r="535" ht="15.75" customHeight="1">
      <c r="T535" s="64"/>
    </row>
    <row r="536" ht="15.75" customHeight="1">
      <c r="T536" s="64"/>
    </row>
    <row r="537" ht="15.75" customHeight="1">
      <c r="T537" s="64"/>
    </row>
    <row r="538" ht="15.75" customHeight="1">
      <c r="T538" s="64"/>
    </row>
    <row r="539" ht="15.75" customHeight="1">
      <c r="T539" s="64"/>
    </row>
    <row r="540" ht="15.75" customHeight="1">
      <c r="T540" s="64"/>
    </row>
    <row r="541" ht="15.75" customHeight="1">
      <c r="T541" s="64"/>
    </row>
    <row r="542" ht="15.75" customHeight="1">
      <c r="T542" s="64"/>
    </row>
    <row r="543" ht="15.75" customHeight="1">
      <c r="T543" s="64"/>
    </row>
    <row r="544" ht="15.75" customHeight="1">
      <c r="T544" s="64"/>
    </row>
    <row r="545" ht="15.75" customHeight="1">
      <c r="T545" s="64"/>
    </row>
    <row r="546" ht="15.75" customHeight="1">
      <c r="T546" s="64"/>
    </row>
    <row r="547" ht="15.75" customHeight="1">
      <c r="T547" s="64"/>
    </row>
    <row r="548" ht="15.75" customHeight="1">
      <c r="T548" s="64"/>
    </row>
    <row r="549" ht="15.75" customHeight="1">
      <c r="T549" s="64"/>
    </row>
    <row r="550" ht="15.75" customHeight="1">
      <c r="T550" s="64"/>
    </row>
    <row r="551" ht="15.75" customHeight="1">
      <c r="T551" s="64"/>
    </row>
    <row r="552" ht="15.75" customHeight="1">
      <c r="T552" s="64"/>
    </row>
    <row r="553" ht="15.75" customHeight="1">
      <c r="T553" s="64"/>
    </row>
    <row r="554" ht="15.75" customHeight="1">
      <c r="T554" s="64"/>
    </row>
    <row r="555" ht="15.75" customHeight="1">
      <c r="T555" s="64"/>
    </row>
    <row r="556" ht="15.75" customHeight="1">
      <c r="T556" s="64"/>
    </row>
    <row r="557" ht="15.75" customHeight="1">
      <c r="T557" s="64"/>
    </row>
    <row r="558" ht="15.75" customHeight="1">
      <c r="T558" s="64"/>
    </row>
    <row r="559" ht="15.75" customHeight="1">
      <c r="T559" s="64"/>
    </row>
    <row r="560" ht="15.75" customHeight="1">
      <c r="T560" s="64"/>
    </row>
    <row r="561" ht="15.75" customHeight="1">
      <c r="T561" s="64"/>
    </row>
    <row r="562" ht="15.75" customHeight="1">
      <c r="T562" s="64"/>
    </row>
    <row r="563" ht="15.75" customHeight="1">
      <c r="T563" s="64"/>
    </row>
    <row r="564" ht="15.75" customHeight="1">
      <c r="T564" s="64"/>
    </row>
    <row r="565" ht="15.75" customHeight="1">
      <c r="T565" s="64"/>
    </row>
    <row r="566" ht="15.75" customHeight="1">
      <c r="T566" s="64"/>
    </row>
    <row r="567" ht="15.75" customHeight="1">
      <c r="T567" s="64"/>
    </row>
    <row r="568" ht="15.75" customHeight="1">
      <c r="T568" s="64"/>
    </row>
    <row r="569" ht="15.75" customHeight="1">
      <c r="T569" s="64"/>
    </row>
    <row r="570" ht="15.75" customHeight="1">
      <c r="T570" s="64"/>
    </row>
    <row r="571" ht="15.75" customHeight="1">
      <c r="T571" s="64"/>
    </row>
    <row r="572" ht="15.75" customHeight="1">
      <c r="T572" s="64"/>
    </row>
    <row r="573" ht="15.75" customHeight="1">
      <c r="T573" s="64"/>
    </row>
    <row r="574" ht="15.75" customHeight="1">
      <c r="T574" s="64"/>
    </row>
    <row r="575" ht="15.75" customHeight="1">
      <c r="T575" s="64"/>
    </row>
    <row r="576" ht="15.75" customHeight="1">
      <c r="T576" s="64"/>
    </row>
    <row r="577" ht="15.75" customHeight="1">
      <c r="T577" s="64"/>
    </row>
    <row r="578" ht="15.75" customHeight="1">
      <c r="T578" s="64"/>
    </row>
    <row r="579" ht="15.75" customHeight="1">
      <c r="T579" s="64"/>
    </row>
    <row r="580" ht="15.75" customHeight="1">
      <c r="T580" s="64"/>
    </row>
    <row r="581" ht="15.75" customHeight="1">
      <c r="T581" s="64"/>
    </row>
    <row r="582" ht="15.75" customHeight="1">
      <c r="T582" s="64"/>
    </row>
    <row r="583" ht="15.75" customHeight="1">
      <c r="T583" s="64"/>
    </row>
    <row r="584" ht="15.75" customHeight="1">
      <c r="T584" s="64"/>
    </row>
    <row r="585" ht="15.75" customHeight="1">
      <c r="T585" s="64"/>
    </row>
    <row r="586" ht="15.75" customHeight="1">
      <c r="T586" s="64"/>
    </row>
    <row r="587" ht="15.75" customHeight="1">
      <c r="T587" s="64"/>
    </row>
    <row r="588" ht="15.75" customHeight="1">
      <c r="T588" s="64"/>
    </row>
    <row r="589" ht="15.75" customHeight="1">
      <c r="T589" s="64"/>
    </row>
    <row r="590" ht="15.75" customHeight="1">
      <c r="T590" s="64"/>
    </row>
    <row r="591" ht="15.75" customHeight="1">
      <c r="T591" s="64"/>
    </row>
    <row r="592" ht="15.75" customHeight="1">
      <c r="T592" s="64"/>
    </row>
    <row r="593" ht="15.75" customHeight="1">
      <c r="T593" s="64"/>
    </row>
    <row r="594" ht="15.75" customHeight="1">
      <c r="T594" s="64"/>
    </row>
    <row r="595" ht="15.75" customHeight="1">
      <c r="T595" s="64"/>
    </row>
    <row r="596" ht="15.75" customHeight="1">
      <c r="T596" s="64"/>
    </row>
    <row r="597" ht="15.75" customHeight="1">
      <c r="T597" s="64"/>
    </row>
    <row r="598" ht="15.75" customHeight="1">
      <c r="T598" s="64"/>
    </row>
    <row r="599" ht="15.75" customHeight="1">
      <c r="T599" s="64"/>
    </row>
    <row r="600" ht="15.75" customHeight="1">
      <c r="T600" s="64"/>
    </row>
    <row r="601" ht="15.75" customHeight="1">
      <c r="T601" s="64"/>
    </row>
    <row r="602" ht="15.75" customHeight="1">
      <c r="T602" s="64"/>
    </row>
    <row r="603" ht="15.75" customHeight="1">
      <c r="T603" s="64"/>
    </row>
    <row r="604" ht="15.75" customHeight="1">
      <c r="T604" s="64"/>
    </row>
    <row r="605" ht="15.75" customHeight="1">
      <c r="T605" s="64"/>
    </row>
    <row r="606" ht="15.75" customHeight="1">
      <c r="T606" s="64"/>
    </row>
    <row r="607" ht="15.75" customHeight="1">
      <c r="T607" s="64"/>
    </row>
    <row r="608" ht="15.75" customHeight="1">
      <c r="T608" s="64"/>
    </row>
    <row r="609" ht="15.75" customHeight="1">
      <c r="T609" s="64"/>
    </row>
    <row r="610" ht="15.75" customHeight="1">
      <c r="T610" s="64"/>
    </row>
    <row r="611" ht="15.75" customHeight="1">
      <c r="T611" s="64"/>
    </row>
    <row r="612" ht="15.75" customHeight="1">
      <c r="T612" s="64"/>
    </row>
    <row r="613" ht="15.75" customHeight="1">
      <c r="T613" s="64"/>
    </row>
    <row r="614" ht="15.75" customHeight="1">
      <c r="T614" s="64"/>
    </row>
    <row r="615" ht="15.75" customHeight="1">
      <c r="T615" s="64"/>
    </row>
    <row r="616" ht="15.75" customHeight="1">
      <c r="T616" s="64"/>
    </row>
    <row r="617" ht="15.75" customHeight="1">
      <c r="T617" s="64"/>
    </row>
    <row r="618" ht="15.75" customHeight="1">
      <c r="T618" s="64"/>
    </row>
    <row r="619" ht="15.75" customHeight="1">
      <c r="T619" s="64"/>
    </row>
    <row r="620" ht="15.75" customHeight="1">
      <c r="T620" s="64"/>
    </row>
    <row r="621" ht="15.75" customHeight="1">
      <c r="T621" s="64"/>
    </row>
    <row r="622" ht="15.75" customHeight="1">
      <c r="T622" s="64"/>
    </row>
    <row r="623" ht="15.75" customHeight="1">
      <c r="T623" s="64"/>
    </row>
    <row r="624" ht="15.75" customHeight="1">
      <c r="T624" s="64"/>
    </row>
    <row r="625" ht="15.75" customHeight="1">
      <c r="T625" s="64"/>
    </row>
    <row r="626" ht="15.75" customHeight="1">
      <c r="T626" s="64"/>
    </row>
    <row r="627" ht="15.75" customHeight="1">
      <c r="T627" s="64"/>
    </row>
    <row r="628" ht="15.75" customHeight="1">
      <c r="T628" s="64"/>
    </row>
    <row r="629" ht="15.75" customHeight="1">
      <c r="T629" s="64"/>
    </row>
    <row r="630" ht="15.75" customHeight="1">
      <c r="T630" s="64"/>
    </row>
    <row r="631" ht="15.75" customHeight="1">
      <c r="T631" s="64"/>
    </row>
    <row r="632" ht="15.75" customHeight="1">
      <c r="T632" s="64"/>
    </row>
    <row r="633" ht="15.75" customHeight="1">
      <c r="T633" s="64"/>
    </row>
    <row r="634" ht="15.75" customHeight="1">
      <c r="T634" s="64"/>
    </row>
    <row r="635" ht="15.75" customHeight="1">
      <c r="T635" s="64"/>
    </row>
    <row r="636" ht="15.75" customHeight="1">
      <c r="T636" s="64"/>
    </row>
    <row r="637" ht="15.75" customHeight="1">
      <c r="T637" s="64"/>
    </row>
    <row r="638" ht="15.75" customHeight="1">
      <c r="T638" s="64"/>
    </row>
    <row r="639" ht="15.75" customHeight="1">
      <c r="T639" s="64"/>
    </row>
    <row r="640" ht="15.75" customHeight="1">
      <c r="T640" s="64"/>
    </row>
    <row r="641" ht="15.75" customHeight="1">
      <c r="T641" s="64"/>
    </row>
    <row r="642" ht="15.75" customHeight="1">
      <c r="T642" s="64"/>
    </row>
    <row r="643" ht="15.75" customHeight="1">
      <c r="T643" s="64"/>
    </row>
    <row r="644" ht="15.75" customHeight="1">
      <c r="T644" s="64"/>
    </row>
    <row r="645" ht="15.75" customHeight="1">
      <c r="T645" s="64"/>
    </row>
    <row r="646" ht="15.75" customHeight="1">
      <c r="T646" s="64"/>
    </row>
    <row r="647" ht="15.75" customHeight="1">
      <c r="T647" s="64"/>
    </row>
    <row r="648" ht="15.75" customHeight="1">
      <c r="T648" s="64"/>
    </row>
    <row r="649" ht="15.75" customHeight="1">
      <c r="T649" s="64"/>
    </row>
    <row r="650" ht="15.75" customHeight="1">
      <c r="T650" s="64"/>
    </row>
    <row r="651" ht="15.75" customHeight="1">
      <c r="T651" s="64"/>
    </row>
    <row r="652" ht="15.75" customHeight="1">
      <c r="T652" s="64"/>
    </row>
    <row r="653" ht="15.75" customHeight="1">
      <c r="T653" s="64"/>
    </row>
    <row r="654" ht="15.75" customHeight="1">
      <c r="T654" s="64"/>
    </row>
    <row r="655" ht="15.75" customHeight="1">
      <c r="T655" s="64"/>
    </row>
    <row r="656" ht="15.75" customHeight="1">
      <c r="T656" s="64"/>
    </row>
    <row r="657" ht="15.75" customHeight="1">
      <c r="T657" s="64"/>
    </row>
    <row r="658" ht="15.75" customHeight="1">
      <c r="T658" s="64"/>
    </row>
    <row r="659" ht="15.75" customHeight="1">
      <c r="T659" s="64"/>
    </row>
    <row r="660" ht="15.75" customHeight="1">
      <c r="T660" s="64"/>
    </row>
    <row r="661" ht="15.75" customHeight="1">
      <c r="T661" s="64"/>
    </row>
    <row r="662" ht="15.75" customHeight="1">
      <c r="T662" s="64"/>
    </row>
    <row r="663" ht="15.75" customHeight="1">
      <c r="T663" s="64"/>
    </row>
    <row r="664" ht="15.75" customHeight="1">
      <c r="T664" s="64"/>
    </row>
    <row r="665" ht="15.75" customHeight="1">
      <c r="T665" s="64"/>
    </row>
    <row r="666" ht="15.75" customHeight="1">
      <c r="T666" s="64"/>
    </row>
    <row r="667" ht="15.75" customHeight="1">
      <c r="T667" s="64"/>
    </row>
    <row r="668" ht="15.75" customHeight="1">
      <c r="T668" s="64"/>
    </row>
    <row r="669" ht="15.75" customHeight="1">
      <c r="T669" s="64"/>
    </row>
    <row r="670" ht="15.75" customHeight="1">
      <c r="T670" s="64"/>
    </row>
    <row r="671" ht="15.75" customHeight="1">
      <c r="T671" s="64"/>
    </row>
    <row r="672" ht="15.75" customHeight="1">
      <c r="T672" s="64"/>
    </row>
    <row r="673" ht="15.75" customHeight="1">
      <c r="T673" s="64"/>
    </row>
    <row r="674" ht="15.75" customHeight="1">
      <c r="T674" s="64"/>
    </row>
    <row r="675" ht="15.75" customHeight="1">
      <c r="T675" s="64"/>
    </row>
    <row r="676" ht="15.75" customHeight="1">
      <c r="T676" s="64"/>
    </row>
    <row r="677" ht="15.75" customHeight="1">
      <c r="T677" s="64"/>
    </row>
    <row r="678" ht="15.75" customHeight="1">
      <c r="T678" s="64"/>
    </row>
    <row r="679" ht="15.75" customHeight="1">
      <c r="T679" s="64"/>
    </row>
    <row r="680" ht="15.75" customHeight="1">
      <c r="T680" s="64"/>
    </row>
    <row r="681" ht="15.75" customHeight="1">
      <c r="T681" s="64"/>
    </row>
    <row r="682" ht="15.75" customHeight="1">
      <c r="T682" s="64"/>
    </row>
    <row r="683" ht="15.75" customHeight="1">
      <c r="T683" s="64"/>
    </row>
    <row r="684" ht="15.75" customHeight="1">
      <c r="T684" s="64"/>
    </row>
    <row r="685" ht="15.75" customHeight="1">
      <c r="T685" s="64"/>
    </row>
    <row r="686" ht="15.75" customHeight="1">
      <c r="T686" s="64"/>
    </row>
    <row r="687" ht="15.75" customHeight="1">
      <c r="T687" s="64"/>
    </row>
    <row r="688" ht="15.75" customHeight="1">
      <c r="T688" s="64"/>
    </row>
    <row r="689" ht="15.75" customHeight="1">
      <c r="T689" s="64"/>
    </row>
    <row r="690" ht="15.75" customHeight="1">
      <c r="T690" s="64"/>
    </row>
    <row r="691" ht="15.75" customHeight="1">
      <c r="T691" s="64"/>
    </row>
    <row r="692" ht="15.75" customHeight="1">
      <c r="T692" s="64"/>
    </row>
    <row r="693" ht="15.75" customHeight="1">
      <c r="T693" s="64"/>
    </row>
    <row r="694" ht="15.75" customHeight="1">
      <c r="T694" s="64"/>
    </row>
    <row r="695" ht="15.75" customHeight="1">
      <c r="T695" s="64"/>
    </row>
    <row r="696" ht="15.75" customHeight="1">
      <c r="T696" s="64"/>
    </row>
    <row r="697" ht="15.75" customHeight="1">
      <c r="T697" s="64"/>
    </row>
    <row r="698" ht="15.75" customHeight="1">
      <c r="T698" s="64"/>
    </row>
    <row r="699" ht="15.75" customHeight="1">
      <c r="T699" s="64"/>
    </row>
    <row r="700" ht="15.75" customHeight="1">
      <c r="T700" s="64"/>
    </row>
    <row r="701" ht="15.75" customHeight="1">
      <c r="T701" s="64"/>
    </row>
    <row r="702" ht="15.75" customHeight="1">
      <c r="T702" s="64"/>
    </row>
    <row r="703" ht="15.75" customHeight="1">
      <c r="T703" s="64"/>
    </row>
    <row r="704" ht="15.75" customHeight="1">
      <c r="T704" s="64"/>
    </row>
    <row r="705" ht="15.75" customHeight="1">
      <c r="T705" s="64"/>
    </row>
    <row r="706" ht="15.75" customHeight="1">
      <c r="T706" s="64"/>
    </row>
    <row r="707" ht="15.75" customHeight="1">
      <c r="T707" s="64"/>
    </row>
    <row r="708" ht="15.75" customHeight="1">
      <c r="T708" s="64"/>
    </row>
    <row r="709" ht="15.75" customHeight="1">
      <c r="T709" s="64"/>
    </row>
    <row r="710" ht="15.75" customHeight="1">
      <c r="T710" s="64"/>
    </row>
    <row r="711" ht="15.75" customHeight="1">
      <c r="T711" s="64"/>
    </row>
    <row r="712" ht="15.75" customHeight="1">
      <c r="T712" s="64"/>
    </row>
    <row r="713" ht="15.75" customHeight="1">
      <c r="T713" s="64"/>
    </row>
    <row r="714" ht="15.75" customHeight="1">
      <c r="T714" s="64"/>
    </row>
    <row r="715" ht="15.75" customHeight="1">
      <c r="T715" s="64"/>
    </row>
    <row r="716" ht="15.75" customHeight="1">
      <c r="T716" s="64"/>
    </row>
    <row r="717" ht="15.75" customHeight="1">
      <c r="T717" s="64"/>
    </row>
    <row r="718" ht="15.75" customHeight="1">
      <c r="T718" s="64"/>
    </row>
    <row r="719" ht="15.75" customHeight="1">
      <c r="T719" s="64"/>
    </row>
    <row r="720" ht="15.75" customHeight="1">
      <c r="T720" s="64"/>
    </row>
    <row r="721" ht="15.75" customHeight="1">
      <c r="T721" s="64"/>
    </row>
    <row r="722" ht="15.75" customHeight="1">
      <c r="T722" s="64"/>
    </row>
    <row r="723" ht="15.75" customHeight="1">
      <c r="T723" s="64"/>
    </row>
    <row r="724" ht="15.75" customHeight="1">
      <c r="T724" s="64"/>
    </row>
    <row r="725" ht="15.75" customHeight="1">
      <c r="T725" s="64"/>
    </row>
    <row r="726" ht="15.75" customHeight="1">
      <c r="T726" s="64"/>
    </row>
    <row r="727" ht="15.75" customHeight="1">
      <c r="T727" s="64"/>
    </row>
    <row r="728" ht="15.75" customHeight="1">
      <c r="T728" s="64"/>
    </row>
    <row r="729" ht="15.75" customHeight="1">
      <c r="T729" s="64"/>
    </row>
    <row r="730" ht="15.75" customHeight="1">
      <c r="T730" s="64"/>
    </row>
    <row r="731" ht="15.75" customHeight="1">
      <c r="T731" s="64"/>
    </row>
    <row r="732" ht="15.75" customHeight="1">
      <c r="T732" s="64"/>
    </row>
    <row r="733" ht="15.75" customHeight="1">
      <c r="T733" s="64"/>
    </row>
    <row r="734" ht="15.75" customHeight="1">
      <c r="T734" s="64"/>
    </row>
    <row r="735" ht="15.75" customHeight="1">
      <c r="T735" s="64"/>
    </row>
    <row r="736" ht="15.75" customHeight="1">
      <c r="T736" s="64"/>
    </row>
    <row r="737" ht="15.75" customHeight="1">
      <c r="T737" s="64"/>
    </row>
    <row r="738" ht="15.75" customHeight="1">
      <c r="T738" s="64"/>
    </row>
    <row r="739" ht="15.75" customHeight="1">
      <c r="T739" s="64"/>
    </row>
    <row r="740" ht="15.75" customHeight="1">
      <c r="T740" s="64"/>
    </row>
    <row r="741" ht="15.75" customHeight="1">
      <c r="T741" s="64"/>
    </row>
    <row r="742" ht="15.75" customHeight="1">
      <c r="T742" s="64"/>
    </row>
    <row r="743" ht="15.75" customHeight="1">
      <c r="T743" s="64"/>
    </row>
    <row r="744" ht="15.75" customHeight="1">
      <c r="T744" s="64"/>
    </row>
    <row r="745" ht="15.75" customHeight="1">
      <c r="T745" s="64"/>
    </row>
    <row r="746" ht="15.75" customHeight="1">
      <c r="T746" s="64"/>
    </row>
    <row r="747" ht="15.75" customHeight="1">
      <c r="T747" s="64"/>
    </row>
    <row r="748" ht="15.75" customHeight="1">
      <c r="T748" s="64"/>
    </row>
    <row r="749" ht="15.75" customHeight="1">
      <c r="T749" s="64"/>
    </row>
    <row r="750" ht="15.75" customHeight="1">
      <c r="T750" s="64"/>
    </row>
    <row r="751" ht="15.75" customHeight="1">
      <c r="T751" s="64"/>
    </row>
    <row r="752" ht="15.75" customHeight="1">
      <c r="T752" s="64"/>
    </row>
    <row r="753" ht="15.75" customHeight="1">
      <c r="T753" s="64"/>
    </row>
    <row r="754" ht="15.75" customHeight="1">
      <c r="T754" s="64"/>
    </row>
    <row r="755" ht="15.75" customHeight="1">
      <c r="T755" s="64"/>
    </row>
    <row r="756" ht="15.75" customHeight="1">
      <c r="T756" s="64"/>
    </row>
    <row r="757" ht="15.75" customHeight="1">
      <c r="T757" s="64"/>
    </row>
    <row r="758" ht="15.75" customHeight="1">
      <c r="T758" s="64"/>
    </row>
    <row r="759" ht="15.75" customHeight="1">
      <c r="T759" s="64"/>
    </row>
    <row r="760" ht="15.75" customHeight="1">
      <c r="T760" s="64"/>
    </row>
    <row r="761" ht="15.75" customHeight="1">
      <c r="T761" s="64"/>
    </row>
    <row r="762" ht="15.75" customHeight="1">
      <c r="T762" s="64"/>
    </row>
    <row r="763" ht="15.75" customHeight="1">
      <c r="T763" s="64"/>
    </row>
    <row r="764" ht="15.75" customHeight="1">
      <c r="T764" s="64"/>
    </row>
    <row r="765" ht="15.75" customHeight="1">
      <c r="T765" s="64"/>
    </row>
    <row r="766" ht="15.75" customHeight="1">
      <c r="T766" s="64"/>
    </row>
    <row r="767" ht="15.75" customHeight="1">
      <c r="T767" s="64"/>
    </row>
    <row r="768" ht="15.75" customHeight="1">
      <c r="T768" s="64"/>
    </row>
    <row r="769" ht="15.75" customHeight="1">
      <c r="T769" s="64"/>
    </row>
    <row r="770" ht="15.75" customHeight="1">
      <c r="T770" s="64"/>
    </row>
    <row r="771" ht="15.75" customHeight="1">
      <c r="T771" s="64"/>
    </row>
    <row r="772" ht="15.75" customHeight="1">
      <c r="T772" s="64"/>
    </row>
    <row r="773" ht="15.75" customHeight="1">
      <c r="T773" s="64"/>
    </row>
    <row r="774" ht="15.75" customHeight="1">
      <c r="T774" s="64"/>
    </row>
    <row r="775" ht="15.75" customHeight="1">
      <c r="T775" s="64"/>
    </row>
    <row r="776" ht="15.75" customHeight="1">
      <c r="T776" s="64"/>
    </row>
    <row r="777" ht="15.75" customHeight="1">
      <c r="T777" s="64"/>
    </row>
    <row r="778" ht="15.75" customHeight="1">
      <c r="T778" s="64"/>
    </row>
    <row r="779" ht="15.75" customHeight="1">
      <c r="T779" s="64"/>
    </row>
    <row r="780" ht="15.75" customHeight="1">
      <c r="T780" s="64"/>
    </row>
    <row r="781" ht="15.75" customHeight="1">
      <c r="T781" s="64"/>
    </row>
    <row r="782" ht="15.75" customHeight="1">
      <c r="T782" s="64"/>
    </row>
    <row r="783" ht="15.75" customHeight="1">
      <c r="T783" s="64"/>
    </row>
    <row r="784" ht="15.75" customHeight="1">
      <c r="T784" s="64"/>
    </row>
    <row r="785" ht="15.75" customHeight="1">
      <c r="T785" s="64"/>
    </row>
    <row r="786" ht="15.75" customHeight="1">
      <c r="T786" s="64"/>
    </row>
    <row r="787" ht="15.75" customHeight="1">
      <c r="T787" s="64"/>
    </row>
    <row r="788" ht="15.75" customHeight="1">
      <c r="T788" s="64"/>
    </row>
    <row r="789" ht="15.75" customHeight="1">
      <c r="T789" s="64"/>
    </row>
    <row r="790" ht="15.75" customHeight="1">
      <c r="T790" s="64"/>
    </row>
    <row r="791" ht="15.75" customHeight="1">
      <c r="T791" s="64"/>
    </row>
    <row r="792" ht="15.75" customHeight="1">
      <c r="T792" s="64"/>
    </row>
    <row r="793" ht="15.75" customHeight="1">
      <c r="T793" s="64"/>
    </row>
    <row r="794" ht="15.75" customHeight="1">
      <c r="T794" s="64"/>
    </row>
    <row r="795" ht="15.75" customHeight="1">
      <c r="T795" s="64"/>
    </row>
    <row r="796" ht="15.75" customHeight="1">
      <c r="T796" s="64"/>
    </row>
    <row r="797" ht="15.75" customHeight="1">
      <c r="T797" s="64"/>
    </row>
    <row r="798" ht="15.75" customHeight="1">
      <c r="T798" s="64"/>
    </row>
    <row r="799" ht="15.75" customHeight="1">
      <c r="T799" s="64"/>
    </row>
    <row r="800" ht="15.75" customHeight="1">
      <c r="T800" s="64"/>
    </row>
    <row r="801" ht="15.75" customHeight="1">
      <c r="T801" s="64"/>
    </row>
    <row r="802" ht="15.75" customHeight="1">
      <c r="T802" s="64"/>
    </row>
    <row r="803" ht="15.75" customHeight="1">
      <c r="T803" s="64"/>
    </row>
    <row r="804" ht="15.75" customHeight="1">
      <c r="T804" s="64"/>
    </row>
    <row r="805" ht="15.75" customHeight="1">
      <c r="T805" s="64"/>
    </row>
    <row r="806" ht="15.75" customHeight="1">
      <c r="T806" s="64"/>
    </row>
    <row r="807" ht="15.75" customHeight="1">
      <c r="T807" s="64"/>
    </row>
    <row r="808" ht="15.75" customHeight="1">
      <c r="T808" s="64"/>
    </row>
    <row r="809" ht="15.75" customHeight="1">
      <c r="T809" s="64"/>
    </row>
    <row r="810" ht="15.75" customHeight="1">
      <c r="T810" s="64"/>
    </row>
    <row r="811" ht="15.75" customHeight="1">
      <c r="T811" s="64"/>
    </row>
    <row r="812" ht="15.75" customHeight="1">
      <c r="T812" s="64"/>
    </row>
    <row r="813" ht="15.75" customHeight="1">
      <c r="T813" s="64"/>
    </row>
    <row r="814" ht="15.75" customHeight="1">
      <c r="T814" s="64"/>
    </row>
    <row r="815" ht="15.75" customHeight="1">
      <c r="T815" s="64"/>
    </row>
    <row r="816" ht="15.75" customHeight="1">
      <c r="T816" s="64"/>
    </row>
    <row r="817" ht="15.75" customHeight="1">
      <c r="T817" s="64"/>
    </row>
    <row r="818" ht="15.75" customHeight="1">
      <c r="T818" s="64"/>
    </row>
    <row r="819" ht="15.75" customHeight="1">
      <c r="T819" s="64"/>
    </row>
    <row r="820" ht="15.75" customHeight="1">
      <c r="T820" s="64"/>
    </row>
    <row r="821" ht="15.75" customHeight="1">
      <c r="T821" s="64"/>
    </row>
    <row r="822" ht="15.75" customHeight="1">
      <c r="T822" s="64"/>
    </row>
    <row r="823" ht="15.75" customHeight="1">
      <c r="T823" s="64"/>
    </row>
    <row r="824" ht="15.75" customHeight="1">
      <c r="T824" s="64"/>
    </row>
    <row r="825" ht="15.75" customHeight="1">
      <c r="T825" s="64"/>
    </row>
    <row r="826" ht="15.75" customHeight="1">
      <c r="T826" s="64"/>
    </row>
    <row r="827" ht="15.75" customHeight="1">
      <c r="T827" s="64"/>
    </row>
    <row r="828" ht="15.75" customHeight="1">
      <c r="T828" s="64"/>
    </row>
    <row r="829" ht="15.75" customHeight="1">
      <c r="T829" s="64"/>
    </row>
    <row r="830" ht="15.75" customHeight="1">
      <c r="T830" s="64"/>
    </row>
    <row r="831" ht="15.75" customHeight="1">
      <c r="T831" s="64"/>
    </row>
    <row r="832" ht="15.75" customHeight="1">
      <c r="T832" s="64"/>
    </row>
    <row r="833" ht="15.75" customHeight="1">
      <c r="T833" s="64"/>
    </row>
    <row r="834" ht="15.75" customHeight="1">
      <c r="T834" s="64"/>
    </row>
    <row r="835" ht="15.75" customHeight="1">
      <c r="T835" s="64"/>
    </row>
    <row r="836" ht="15.75" customHeight="1">
      <c r="T836" s="64"/>
    </row>
    <row r="837" ht="15.75" customHeight="1">
      <c r="T837" s="64"/>
    </row>
    <row r="838" ht="15.75" customHeight="1">
      <c r="T838" s="64"/>
    </row>
    <row r="839" ht="15.75" customHeight="1">
      <c r="T839" s="64"/>
    </row>
    <row r="840" ht="15.75" customHeight="1">
      <c r="T840" s="64"/>
    </row>
    <row r="841" ht="15.75" customHeight="1">
      <c r="T841" s="64"/>
    </row>
    <row r="842" ht="15.75" customHeight="1">
      <c r="T842" s="64"/>
    </row>
    <row r="843" ht="15.75" customHeight="1">
      <c r="T843" s="64"/>
    </row>
    <row r="844" ht="15.75" customHeight="1">
      <c r="T844" s="64"/>
    </row>
    <row r="845" ht="15.75" customHeight="1">
      <c r="T845" s="64"/>
    </row>
    <row r="846" ht="15.75" customHeight="1">
      <c r="T846" s="64"/>
    </row>
    <row r="847" ht="15.75" customHeight="1">
      <c r="T847" s="64"/>
    </row>
    <row r="848" ht="15.75" customHeight="1">
      <c r="T848" s="64"/>
    </row>
    <row r="849" ht="15.75" customHeight="1">
      <c r="T849" s="64"/>
    </row>
    <row r="850" ht="15.75" customHeight="1">
      <c r="T850" s="64"/>
    </row>
    <row r="851" ht="15.75" customHeight="1">
      <c r="T851" s="64"/>
    </row>
    <row r="852" ht="15.75" customHeight="1">
      <c r="T852" s="64"/>
    </row>
    <row r="853" ht="15.75" customHeight="1">
      <c r="T853" s="64"/>
    </row>
    <row r="854" ht="15.75" customHeight="1">
      <c r="T854" s="64"/>
    </row>
    <row r="855" ht="15.75" customHeight="1">
      <c r="T855" s="64"/>
    </row>
    <row r="856" ht="15.75" customHeight="1">
      <c r="T856" s="64"/>
    </row>
    <row r="857" ht="15.75" customHeight="1">
      <c r="T857" s="64"/>
    </row>
    <row r="858" ht="15.75" customHeight="1">
      <c r="T858" s="64"/>
    </row>
    <row r="859" ht="15.75" customHeight="1">
      <c r="T859" s="64"/>
    </row>
    <row r="860" ht="15.75" customHeight="1">
      <c r="T860" s="64"/>
    </row>
    <row r="861" ht="15.75" customHeight="1">
      <c r="T861" s="64"/>
    </row>
    <row r="862" ht="15.75" customHeight="1">
      <c r="T862" s="64"/>
    </row>
    <row r="863" ht="15.75" customHeight="1">
      <c r="T863" s="64"/>
    </row>
    <row r="864" ht="15.75" customHeight="1">
      <c r="T864" s="64"/>
    </row>
    <row r="865" ht="15.75" customHeight="1">
      <c r="T865" s="64"/>
    </row>
    <row r="866" ht="15.75" customHeight="1">
      <c r="T866" s="64"/>
    </row>
    <row r="867" ht="15.75" customHeight="1">
      <c r="T867" s="64"/>
    </row>
    <row r="868" ht="15.75" customHeight="1">
      <c r="T868" s="64"/>
    </row>
    <row r="869" ht="15.75" customHeight="1">
      <c r="T869" s="64"/>
    </row>
    <row r="870" ht="15.75" customHeight="1">
      <c r="T870" s="64"/>
    </row>
    <row r="871" ht="15.75" customHeight="1">
      <c r="T871" s="64"/>
    </row>
    <row r="872" ht="15.75" customHeight="1">
      <c r="T872" s="64"/>
    </row>
    <row r="873" ht="15.75" customHeight="1">
      <c r="T873" s="64"/>
    </row>
    <row r="874" ht="15.75" customHeight="1">
      <c r="T874" s="64"/>
    </row>
    <row r="875" ht="15.75" customHeight="1">
      <c r="T875" s="64"/>
    </row>
    <row r="876" ht="15.75" customHeight="1">
      <c r="T876" s="64"/>
    </row>
    <row r="877" ht="15.75" customHeight="1">
      <c r="T877" s="64"/>
    </row>
    <row r="878" ht="15.75" customHeight="1">
      <c r="T878" s="64"/>
    </row>
    <row r="879" ht="15.75" customHeight="1">
      <c r="T879" s="64"/>
    </row>
    <row r="880" ht="15.75" customHeight="1">
      <c r="T880" s="64"/>
    </row>
    <row r="881" ht="15.75" customHeight="1">
      <c r="T881" s="64"/>
    </row>
    <row r="882" ht="15.75" customHeight="1">
      <c r="T882" s="64"/>
    </row>
    <row r="883" ht="15.75" customHeight="1">
      <c r="T883" s="64"/>
    </row>
    <row r="884" ht="15.75" customHeight="1">
      <c r="T884" s="64"/>
    </row>
    <row r="885" ht="15.75" customHeight="1">
      <c r="T885" s="64"/>
    </row>
    <row r="886" ht="15.75" customHeight="1">
      <c r="T886" s="64"/>
    </row>
    <row r="887" ht="15.75" customHeight="1">
      <c r="T887" s="64"/>
    </row>
    <row r="888" ht="15.75" customHeight="1">
      <c r="T888" s="64"/>
    </row>
    <row r="889" ht="15.75" customHeight="1">
      <c r="T889" s="64"/>
    </row>
    <row r="890" ht="15.75" customHeight="1">
      <c r="T890" s="64"/>
    </row>
    <row r="891" ht="15.75" customHeight="1">
      <c r="T891" s="64"/>
    </row>
    <row r="892" ht="15.75" customHeight="1">
      <c r="T892" s="64"/>
    </row>
    <row r="893" ht="15.75" customHeight="1">
      <c r="T893" s="64"/>
    </row>
    <row r="894" ht="15.75" customHeight="1">
      <c r="T894" s="64"/>
    </row>
    <row r="895" ht="15.75" customHeight="1">
      <c r="T895" s="64"/>
    </row>
    <row r="896" ht="15.75" customHeight="1">
      <c r="T896" s="64"/>
    </row>
    <row r="897" ht="15.75" customHeight="1">
      <c r="T897" s="64"/>
    </row>
    <row r="898" ht="15.75" customHeight="1">
      <c r="T898" s="64"/>
    </row>
    <row r="899" ht="15.75" customHeight="1">
      <c r="T899" s="64"/>
    </row>
    <row r="900" ht="15.75" customHeight="1">
      <c r="T900" s="64"/>
    </row>
    <row r="901" ht="15.75" customHeight="1">
      <c r="T901" s="64"/>
    </row>
    <row r="902" ht="15.75" customHeight="1">
      <c r="T902" s="64"/>
    </row>
    <row r="903" ht="15.75" customHeight="1">
      <c r="T903" s="64"/>
    </row>
    <row r="904" ht="15.75" customHeight="1">
      <c r="T904" s="64"/>
    </row>
    <row r="905" ht="15.75" customHeight="1">
      <c r="T905" s="64"/>
    </row>
    <row r="906" ht="15.75" customHeight="1">
      <c r="T906" s="64"/>
    </row>
    <row r="907" ht="15.75" customHeight="1">
      <c r="T907" s="64"/>
    </row>
    <row r="908" ht="15.75" customHeight="1">
      <c r="T908" s="64"/>
    </row>
    <row r="909" ht="15.75" customHeight="1">
      <c r="T909" s="64"/>
    </row>
    <row r="910" ht="15.75" customHeight="1">
      <c r="T910" s="64"/>
    </row>
    <row r="911" ht="15.75" customHeight="1">
      <c r="T911" s="64"/>
    </row>
    <row r="912" ht="15.75" customHeight="1">
      <c r="T912" s="64"/>
    </row>
    <row r="913" ht="15.75" customHeight="1">
      <c r="T913" s="64"/>
    </row>
    <row r="914" ht="15.75" customHeight="1">
      <c r="T914" s="64"/>
    </row>
    <row r="915" ht="15.75" customHeight="1">
      <c r="T915" s="64"/>
    </row>
    <row r="916" ht="15.75" customHeight="1">
      <c r="T916" s="64"/>
    </row>
    <row r="917" ht="15.75" customHeight="1">
      <c r="T917" s="64"/>
    </row>
    <row r="918" ht="15.75" customHeight="1">
      <c r="T918" s="64"/>
    </row>
    <row r="919" ht="15.75" customHeight="1">
      <c r="T919" s="64"/>
    </row>
    <row r="920" ht="15.75" customHeight="1">
      <c r="T920" s="64"/>
    </row>
    <row r="921" ht="15.75" customHeight="1">
      <c r="T921" s="64"/>
    </row>
    <row r="922" ht="15.75" customHeight="1">
      <c r="T922" s="64"/>
    </row>
    <row r="923" ht="15.75" customHeight="1">
      <c r="T923" s="64"/>
    </row>
    <row r="924" ht="15.75" customHeight="1">
      <c r="T924" s="64"/>
    </row>
    <row r="925" ht="15.75" customHeight="1">
      <c r="T925" s="64"/>
    </row>
    <row r="926" ht="15.75" customHeight="1">
      <c r="T926" s="64"/>
    </row>
    <row r="927" ht="15.75" customHeight="1">
      <c r="T927" s="64"/>
    </row>
    <row r="928" ht="15.75" customHeight="1">
      <c r="T928" s="64"/>
    </row>
    <row r="929" ht="15.75" customHeight="1">
      <c r="T929" s="64"/>
    </row>
    <row r="930" ht="15.75" customHeight="1">
      <c r="T930" s="64"/>
    </row>
    <row r="931" ht="15.75" customHeight="1">
      <c r="T931" s="64"/>
    </row>
    <row r="932" ht="15.75" customHeight="1">
      <c r="T932" s="64"/>
    </row>
    <row r="933" ht="15.75" customHeight="1">
      <c r="T933" s="64"/>
    </row>
    <row r="934" ht="15.75" customHeight="1">
      <c r="T934" s="64"/>
    </row>
    <row r="935" ht="15.75" customHeight="1">
      <c r="T935" s="64"/>
    </row>
    <row r="936" ht="15.75" customHeight="1">
      <c r="T936" s="64"/>
    </row>
    <row r="937" ht="15.75" customHeight="1">
      <c r="T937" s="64"/>
    </row>
    <row r="938" ht="15.75" customHeight="1">
      <c r="T938" s="64"/>
    </row>
    <row r="939" ht="15.75" customHeight="1">
      <c r="T939" s="64"/>
    </row>
    <row r="940" ht="15.75" customHeight="1">
      <c r="T940" s="64"/>
    </row>
    <row r="941" ht="15.75" customHeight="1">
      <c r="T941" s="64"/>
    </row>
    <row r="942" ht="15.75" customHeight="1">
      <c r="T942" s="64"/>
    </row>
    <row r="943" ht="15.75" customHeight="1">
      <c r="T943" s="64"/>
    </row>
    <row r="944" ht="15.75" customHeight="1">
      <c r="T944" s="64"/>
    </row>
    <row r="945" ht="15.75" customHeight="1">
      <c r="T945" s="64"/>
    </row>
    <row r="946" ht="15.75" customHeight="1">
      <c r="T946" s="64"/>
    </row>
    <row r="947" ht="15.75" customHeight="1">
      <c r="T947" s="64"/>
    </row>
    <row r="948" ht="15.75" customHeight="1">
      <c r="T948" s="64"/>
    </row>
    <row r="949" ht="15.75" customHeight="1">
      <c r="T949" s="64"/>
    </row>
    <row r="950" ht="15.75" customHeight="1">
      <c r="T950" s="64"/>
    </row>
    <row r="951" ht="15.75" customHeight="1">
      <c r="T951" s="64"/>
    </row>
    <row r="952" ht="15.75" customHeight="1">
      <c r="T952" s="64"/>
    </row>
    <row r="953" ht="15.75" customHeight="1">
      <c r="T953" s="64"/>
    </row>
    <row r="954" ht="15.75" customHeight="1">
      <c r="T954" s="64"/>
    </row>
    <row r="955" ht="15.75" customHeight="1">
      <c r="T955" s="64"/>
    </row>
    <row r="956" ht="15.75" customHeight="1">
      <c r="T956" s="64"/>
    </row>
    <row r="957" ht="15.75" customHeight="1">
      <c r="T957" s="64"/>
    </row>
    <row r="958" ht="15.75" customHeight="1">
      <c r="T958" s="64"/>
    </row>
    <row r="959" ht="15.75" customHeight="1">
      <c r="T959" s="64"/>
    </row>
    <row r="960" ht="15.75" customHeight="1">
      <c r="T960" s="64"/>
    </row>
    <row r="961" ht="15.75" customHeight="1">
      <c r="T961" s="64"/>
    </row>
    <row r="962" ht="15.75" customHeight="1">
      <c r="T962" s="64"/>
    </row>
    <row r="963" ht="15.75" customHeight="1">
      <c r="T963" s="64"/>
    </row>
    <row r="964" ht="15.75" customHeight="1">
      <c r="T964" s="64"/>
    </row>
    <row r="965" ht="15.75" customHeight="1">
      <c r="T965" s="64"/>
    </row>
    <row r="966" ht="15.75" customHeight="1">
      <c r="T966" s="64"/>
    </row>
    <row r="967" ht="15.75" customHeight="1">
      <c r="T967" s="64"/>
    </row>
    <row r="968" ht="15.75" customHeight="1">
      <c r="T968" s="64"/>
    </row>
    <row r="969" ht="15.75" customHeight="1">
      <c r="T969" s="64"/>
    </row>
    <row r="970" ht="15.75" customHeight="1">
      <c r="T970" s="64"/>
    </row>
    <row r="971" ht="15.75" customHeight="1">
      <c r="T971" s="64"/>
    </row>
    <row r="972" ht="15.75" customHeight="1">
      <c r="T972" s="64"/>
    </row>
    <row r="973" ht="15.75" customHeight="1">
      <c r="T973" s="64"/>
    </row>
    <row r="974" ht="15.75" customHeight="1">
      <c r="T974" s="64"/>
    </row>
    <row r="975" ht="15.75" customHeight="1">
      <c r="T975" s="64"/>
    </row>
    <row r="976" ht="15.75" customHeight="1">
      <c r="T976" s="64"/>
    </row>
    <row r="977" ht="15.75" customHeight="1">
      <c r="T977" s="64"/>
    </row>
    <row r="978" ht="15.75" customHeight="1">
      <c r="T978" s="64"/>
    </row>
    <row r="979" ht="15.75" customHeight="1">
      <c r="T979" s="64"/>
    </row>
    <row r="980" ht="15.75" customHeight="1">
      <c r="T980" s="64"/>
    </row>
    <row r="981" ht="15.75" customHeight="1">
      <c r="T981" s="64"/>
    </row>
    <row r="982" ht="15.75" customHeight="1">
      <c r="T982" s="64"/>
    </row>
    <row r="983" ht="15.75" customHeight="1">
      <c r="T983" s="64"/>
    </row>
    <row r="984" ht="15.75" customHeight="1">
      <c r="T984" s="64"/>
    </row>
    <row r="985" ht="15.75" customHeight="1">
      <c r="T985" s="64"/>
    </row>
    <row r="986" ht="15.75" customHeight="1">
      <c r="T986" s="64"/>
    </row>
    <row r="987" ht="15.75" customHeight="1">
      <c r="T987" s="64"/>
    </row>
    <row r="988" ht="15.75" customHeight="1">
      <c r="T988" s="64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</hyperlinks>
  <drawing r:id="rId14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1.43"/>
    <col customWidth="1" min="3" max="3" width="9.86"/>
    <col customWidth="1" min="4" max="4" width="4.29"/>
    <col customWidth="1" min="5" max="5" width="26.86"/>
    <col customWidth="1" min="6" max="6" width="11.86"/>
    <col customWidth="1" min="7" max="7" width="6.29"/>
    <col customWidth="1" min="8" max="8" width="24.29"/>
    <col customWidth="1" min="9" max="9" width="12.57"/>
    <col customWidth="1" min="10" max="10" width="20.29"/>
    <col customWidth="1" min="11" max="11" width="2.86"/>
    <col customWidth="1" min="12" max="13" width="20.29"/>
    <col customWidth="1" min="14" max="14" width="8.29"/>
    <col customWidth="1" min="15" max="16" width="20.29"/>
  </cols>
  <sheetData>
    <row r="2" ht="15.0" customHeight="1">
      <c r="A2" s="65" t="s">
        <v>326</v>
      </c>
      <c r="B2" s="66"/>
      <c r="C2" s="67" t="s">
        <v>327</v>
      </c>
      <c r="E2" s="68" t="s">
        <v>328</v>
      </c>
      <c r="F2" s="11"/>
      <c r="G2" s="11"/>
      <c r="H2" s="11"/>
    </row>
    <row r="3" ht="15.0" customHeight="1">
      <c r="A3" s="69" t="s">
        <v>329</v>
      </c>
      <c r="B3" s="70">
        <f>(Pricing!C5)*'Base Operating Costs'!$B$13</f>
        <v>47.5</v>
      </c>
      <c r="F3" s="71" t="s">
        <v>22</v>
      </c>
      <c r="G3" s="71" t="s">
        <v>71</v>
      </c>
      <c r="H3" s="71" t="s">
        <v>76</v>
      </c>
    </row>
    <row r="4" ht="15.0" customHeight="1">
      <c r="A4" s="69" t="s">
        <v>330</v>
      </c>
      <c r="B4" s="70">
        <f>(Pricing!C5)*'Base Operating Costs'!B14</f>
        <v>35.17930328</v>
      </c>
      <c r="E4" s="71" t="s">
        <v>20</v>
      </c>
      <c r="F4" s="72">
        <f>('Pricing Calculator'!$C$9*(1+'Pricing Policies'!$C5/100)*'Pricing Policies'!D$4*IF(Pricing!$C$4="TRF",1,(1+Markups!$B$4/100)))+('Pricing Calculator'!$C$14*(1+Markups!$B$5/100)+'Pricing Calculator'!$B$11)</f>
        <v>433.957398</v>
      </c>
      <c r="G4" s="72">
        <f>('Pricing Calculator'!$C$9*(1+'Pricing Policies'!$C5/100)*'Pricing Policies'!E$4*IF(Pricing!$C$4="TRF",1,(1+Markups!$B$4/100)))+('Pricing Calculator'!$C$14*(1+Markups!$B$5/100)+'Pricing Calculator'!$B$11)</f>
        <v>510.5381152</v>
      </c>
      <c r="H4" s="72">
        <f>('Pricing Calculator'!$C$9*(1+'Pricing Policies'!$C5/100)*'Pricing Policies'!F$4*IF(Pricing!$C$4="TRF",1,(1+Markups!$B$4/100)))+('Pricing Calculator'!$C$14*(1+Markups!$B$5/100)+'Pricing Calculator'!$B$11)</f>
        <v>612.6457383</v>
      </c>
    </row>
    <row r="5" ht="15.0" customHeight="1">
      <c r="A5" s="73" t="s">
        <v>331</v>
      </c>
      <c r="B5" s="70">
        <f>'Base Operating Costs'!B15*(Pricing!C5)</f>
        <v>40.25046875</v>
      </c>
      <c r="E5" s="71" t="s">
        <v>70</v>
      </c>
      <c r="F5" s="72">
        <f>('Pricing Calculator'!$C$9*(1+'Pricing Policies'!$C6/100)*'Pricing Policies'!D$4*IF(Pricing!$C$4="TRF",1,(1+Markups!$B$4/100)))+('Pricing Calculator'!$C$14*(1+Markups!$B$5/100)+'Pricing Calculator'!$B$11)</f>
        <v>462.6751669</v>
      </c>
      <c r="G5" s="72">
        <f>('Pricing Calculator'!$C$9*(1+'Pricing Policies'!$C6/100)*'Pricing Policies'!E$4*IF(Pricing!$C$4="TRF",1,(1+Markups!$B$4/100)))+('Pricing Calculator'!$C$14*(1+Markups!$B$5/100)+'Pricing Calculator'!$B$11)</f>
        <v>544.3237258</v>
      </c>
      <c r="H5" s="72">
        <f>('Pricing Calculator'!$C$9*(1+'Pricing Policies'!$C6/100)*'Pricing Policies'!F$4*IF(Pricing!$C$4="TRF",1,(1+Markups!$B$4/100)))+('Pricing Calculator'!$C$14*(1+Markups!$B$5/100)+'Pricing Calculator'!$B$11)</f>
        <v>653.188471</v>
      </c>
    </row>
    <row r="6" ht="15.0" customHeight="1">
      <c r="A6" s="69" t="s">
        <v>332</v>
      </c>
      <c r="B6" s="70">
        <f>Pricing!C7*'Base Operating Costs'!$B$4</f>
        <v>176</v>
      </c>
      <c r="E6" s="71" t="s">
        <v>80</v>
      </c>
      <c r="F6" s="72">
        <f>('Pricing Calculator'!$C$9*(1+'Pricing Policies'!$C7/100)*'Pricing Policies'!D$4*IF(Pricing!$C$4="TRF",1,(1+Markups!$B$4/100)))+('Pricing Calculator'!$C$14*(1+Markups!$B$5/100)+'Pricing Calculator'!$B$11)</f>
        <v>505.7518204</v>
      </c>
      <c r="G6" s="72">
        <f>('Pricing Calculator'!$C$9*(1+'Pricing Policies'!$C7/100)*'Pricing Policies'!E$4*IF(Pricing!$C$4="TRF",1,(1+Markups!$B$4/100)))+('Pricing Calculator'!$C$14*(1+Markups!$B$5/100)+'Pricing Calculator'!$B$11)</f>
        <v>595.0021417</v>
      </c>
      <c r="H6" s="72">
        <f>('Pricing Calculator'!$C$9*(1+'Pricing Policies'!$C7/100)*'Pricing Policies'!F$4*IF(Pricing!$C$4="TRF",1,(1+Markups!$B$4/100)))+('Pricing Calculator'!$C$14*(1+Markups!$B$5/100)+'Pricing Calculator'!$B$11)</f>
        <v>714.00257</v>
      </c>
    </row>
    <row r="7" ht="15.0" customHeight="1">
      <c r="A7" s="69" t="s">
        <v>333</v>
      </c>
      <c r="B7" s="70">
        <f>Pricing!C10</f>
        <v>0</v>
      </c>
    </row>
    <row r="8" ht="15.0" customHeight="1">
      <c r="A8" s="74" t="s">
        <v>334</v>
      </c>
      <c r="B8" s="75">
        <v>0.0</v>
      </c>
    </row>
    <row r="9" ht="15.0" customHeight="1">
      <c r="A9" s="76" t="s">
        <v>335</v>
      </c>
      <c r="B9" s="77">
        <f>B3+B4+B5+B6+B7</f>
        <v>298.929772</v>
      </c>
      <c r="C9" s="77">
        <f>B9*((100+'Pricing Policies'!$I$4*EXP(-1*Pricing!$C$5/'Pricing Policies'!$I$5))/100)*IF(Pricing!$C$5&lt;'Pricing Policies'!$I$7,1,(100-('Pricing Policies'!$I$6/100*Pricing!$C$5)+('Pricing Policies'!$I$7*'Pricing Policies'!$I$6/100))/100)</f>
        <v>300.3165384</v>
      </c>
      <c r="E9" s="68" t="s">
        <v>336</v>
      </c>
      <c r="F9" s="11"/>
      <c r="G9" s="11"/>
      <c r="H9" s="11"/>
      <c r="K9" s="12">
        <v>66.0</v>
      </c>
    </row>
    <row r="10" ht="15.0" customHeight="1">
      <c r="A10" s="12" t="s">
        <v>337</v>
      </c>
      <c r="B10" s="78">
        <f t="array" ref="B10">Pricing!C8*(INDEX('Pricing Policies'!A17:F22,MATCH(Pricing!B14,'Pricing Policies'!A17:A22,0),MATCH(Pricing!B15,'Pricing Policies'!A17:F17,0)))</f>
        <v>0</v>
      </c>
      <c r="F10" s="71" t="s">
        <v>22</v>
      </c>
      <c r="G10" s="71" t="s">
        <v>71</v>
      </c>
      <c r="H10" s="71" t="s">
        <v>76</v>
      </c>
      <c r="K10" s="12">
        <v>77.0</v>
      </c>
    </row>
    <row r="11" ht="15.0" customHeight="1">
      <c r="A11" s="76" t="s">
        <v>338</v>
      </c>
      <c r="B11" s="77">
        <f>B10</f>
        <v>0</v>
      </c>
      <c r="C11" s="77"/>
      <c r="E11" s="71" t="s">
        <v>20</v>
      </c>
      <c r="F11" s="79">
        <f>'Pricing Calculator'!$B$16*(1+'Pricing Policies'!$C12/100)*'Pricing Policies'!D$11</f>
        <v>147</v>
      </c>
      <c r="G11" s="79">
        <f>'Pricing Calculator'!$B$16*(1+'Pricing Policies'!$C12/100)*'Pricing Policies'!E$11</f>
        <v>161.7</v>
      </c>
      <c r="H11" s="79">
        <f>'Pricing Calculator'!$B$16*(1+'Pricing Policies'!$C12/100)*'Pricing Policies'!F$11</f>
        <v>176.4</v>
      </c>
      <c r="K11" s="12">
        <v>88.0</v>
      </c>
    </row>
    <row r="12" ht="15.0" customHeight="1">
      <c r="A12" s="69" t="s">
        <v>339</v>
      </c>
      <c r="B12" s="70">
        <f>(Pricing!C6)*'Base Operating Costs'!$B$16</f>
        <v>0</v>
      </c>
      <c r="C12" s="70">
        <f>B12*((100+'Pricing Policies'!$I$9*EXP(-1*Pricing!$C$6/'Pricing Policies'!$I$10))/100)*IF(Pricing!$C$6&lt;'Pricing Policies'!$I$12,1,(100-('Pricing Policies'!$I$11/100*Pricing!$C$6)+('Pricing Policies'!$I$12*'Pricing Policies'!$I$11/100))/100)</f>
        <v>0</v>
      </c>
      <c r="D12" s="80"/>
      <c r="E12" s="71" t="s">
        <v>70</v>
      </c>
      <c r="F12" s="79">
        <f>'Pricing Calculator'!$B$16*(1+'Pricing Policies'!$C13/100)*'Pricing Policies'!D$11</f>
        <v>154</v>
      </c>
      <c r="G12" s="79">
        <f>'Pricing Calculator'!$B$16*(1+'Pricing Policies'!$C13/100)*'Pricing Policies'!E$11</f>
        <v>169.4</v>
      </c>
      <c r="H12" s="79">
        <f>'Pricing Calculator'!$B$16*(1+'Pricing Policies'!$C13/100)*'Pricing Policies'!F$11</f>
        <v>184.8</v>
      </c>
    </row>
    <row r="13" ht="15.0" customHeight="1">
      <c r="A13" s="69" t="s">
        <v>340</v>
      </c>
      <c r="B13" s="81">
        <f t="array" ref="B13">Pricing!C9*(INDEX('Pricing Policies'!A17:F22,MATCH("Vuoto",'Pricing Policies'!A17:A22,0),MATCH(Pricing!B15,'Pricing Policies'!A17:F17,0)))</f>
        <v>0</v>
      </c>
      <c r="E13" s="71" t="s">
        <v>80</v>
      </c>
      <c r="F13" s="79">
        <f>'Pricing Calculator'!$B$16*(1+'Pricing Policies'!$C14/100)*'Pricing Policies'!D$11</f>
        <v>163.8</v>
      </c>
      <c r="G13" s="79">
        <f>'Pricing Calculator'!$B$16*(1+'Pricing Policies'!$C14/100)*'Pricing Policies'!E$11</f>
        <v>180.18</v>
      </c>
      <c r="H13" s="79">
        <f>'Pricing Calculator'!$B$16*(1+'Pricing Policies'!$C14/100)*'Pricing Policies'!F$11</f>
        <v>196.56</v>
      </c>
    </row>
    <row r="14" ht="15.0" customHeight="1">
      <c r="A14" s="76" t="s">
        <v>341</v>
      </c>
      <c r="B14" s="77">
        <f>B12+B13</f>
        <v>0</v>
      </c>
      <c r="C14" s="77">
        <f>MAX(B13,C12)</f>
        <v>0</v>
      </c>
    </row>
    <row r="15">
      <c r="A15" s="82" t="s">
        <v>342</v>
      </c>
      <c r="B15" s="70">
        <f>Pricing!C12*Pricing!C11</f>
        <v>140</v>
      </c>
    </row>
    <row r="16">
      <c r="A16" s="76" t="s">
        <v>343</v>
      </c>
      <c r="B16" s="77">
        <f>B15</f>
        <v>140</v>
      </c>
      <c r="E16" s="68" t="s">
        <v>344</v>
      </c>
      <c r="F16" s="11"/>
      <c r="G16" s="11"/>
      <c r="H16" s="11"/>
    </row>
    <row r="17" ht="15.0" customHeight="1">
      <c r="F17" s="71" t="s">
        <v>22</v>
      </c>
      <c r="G17" s="71" t="s">
        <v>71</v>
      </c>
      <c r="H17" s="71" t="s">
        <v>76</v>
      </c>
      <c r="L17" s="83"/>
    </row>
    <row r="18" ht="15.0" customHeight="1">
      <c r="E18" s="84" t="s">
        <v>345</v>
      </c>
      <c r="F18" s="85">
        <f>'Base Operating Costs'!$B$5*'Pricing Policies'!D$18*'Pricing Policies'!$B19</f>
        <v>49.203</v>
      </c>
      <c r="G18" s="85">
        <f>'Base Operating Costs'!$B$5*'Pricing Policies'!E$18*'Pricing Policies'!$B19</f>
        <v>54.67</v>
      </c>
      <c r="H18" s="85">
        <f>'Base Operating Costs'!$B$5*'Pricing Policies'!F$18*'Pricing Policies'!$B19</f>
        <v>60.137</v>
      </c>
      <c r="L18" s="86"/>
    </row>
    <row r="19" ht="15.0" customHeight="1">
      <c r="E19" s="71" t="s">
        <v>20</v>
      </c>
      <c r="F19" s="85">
        <f>'Base Operating Costs'!$B$5*'Pricing Policies'!D$18*'Pricing Policies'!$B20</f>
        <v>58.905</v>
      </c>
      <c r="G19" s="85">
        <f>'Base Operating Costs'!$B$5*'Pricing Policies'!E$18*'Pricing Policies'!$B20</f>
        <v>65.45</v>
      </c>
      <c r="H19" s="85">
        <f>'Base Operating Costs'!$B$5*'Pricing Policies'!F$18*'Pricing Policies'!$B20</f>
        <v>71.995</v>
      </c>
      <c r="L19" s="86"/>
    </row>
    <row r="20" ht="15.0" customHeight="1">
      <c r="E20" s="71" t="s">
        <v>70</v>
      </c>
      <c r="F20" s="85">
        <f>'Base Operating Costs'!$B$5*'Pricing Policies'!D$18*'Pricing Policies'!$B21</f>
        <v>69.3</v>
      </c>
      <c r="G20" s="85">
        <f>'Base Operating Costs'!$B$5*'Pricing Policies'!E$18*'Pricing Policies'!$B21</f>
        <v>77</v>
      </c>
      <c r="H20" s="85">
        <f>'Base Operating Costs'!$B$5*'Pricing Policies'!F$18*'Pricing Policies'!$B21</f>
        <v>84.7</v>
      </c>
      <c r="K20" s="86"/>
      <c r="L20" s="86"/>
    </row>
    <row r="21" ht="15.0" customHeight="1">
      <c r="E21" s="71" t="s">
        <v>80</v>
      </c>
      <c r="F21" s="85">
        <f>'Base Operating Costs'!$B$5*'Pricing Policies'!D$18*'Pricing Policies'!$B22</f>
        <v>79.695</v>
      </c>
      <c r="G21" s="85">
        <f>'Base Operating Costs'!$B$5*'Pricing Policies'!E$18*'Pricing Policies'!$B22</f>
        <v>88.55</v>
      </c>
      <c r="H21" s="85">
        <f>'Base Operating Costs'!$B$5*'Pricing Policies'!F$18*'Pricing Policies'!$B22</f>
        <v>97.405</v>
      </c>
    </row>
    <row r="22" ht="15.0" customHeight="1">
      <c r="K22" s="12" t="str">
        <f t="array" ref="K22">(INDEX('Pricing Policies'!A17:F22,MATCH("Vuoto",'Pricing Policies'!A17:A22,0),MATCH(Pricing!B15,'Pricing Policies'!A17:F17,0)))</f>
        <v/>
      </c>
    </row>
    <row r="23" ht="15.75" customHeight="1"/>
    <row r="24" ht="15.75" customHeight="1">
      <c r="M24" s="73"/>
      <c r="N24" s="87"/>
      <c r="O24" s="88"/>
      <c r="P24" s="88"/>
    </row>
    <row r="25" ht="15.75" customHeight="1">
      <c r="M25" s="73"/>
      <c r="N25" s="87"/>
      <c r="O25" s="88"/>
      <c r="P25" s="88"/>
    </row>
    <row r="26" ht="15.75" customHeight="1">
      <c r="D26" s="80"/>
      <c r="M26" s="73"/>
      <c r="N26" s="87"/>
      <c r="O26" s="88"/>
      <c r="P26" s="88"/>
    </row>
    <row r="27" ht="15.75" customHeight="1">
      <c r="M27" s="73"/>
      <c r="N27" s="87"/>
      <c r="O27" s="88"/>
      <c r="P27" s="88"/>
    </row>
    <row r="28" ht="15.75" customHeight="1">
      <c r="M28" s="73"/>
      <c r="N28" s="87"/>
      <c r="O28" s="88"/>
      <c r="P28" s="88"/>
    </row>
    <row r="29" ht="15.75" customHeight="1">
      <c r="M29" s="73"/>
      <c r="N29" s="87"/>
      <c r="O29" s="88"/>
      <c r="P29" s="88"/>
    </row>
    <row r="30" ht="15.75" customHeight="1">
      <c r="M30" s="73"/>
      <c r="N30" s="87"/>
      <c r="O30" s="88"/>
      <c r="P30" s="88"/>
    </row>
    <row r="31" ht="15.75" customHeight="1">
      <c r="M31" s="73"/>
      <c r="N31" s="87"/>
      <c r="O31" s="88"/>
      <c r="P31" s="88"/>
    </row>
    <row r="32" ht="15.75" customHeight="1">
      <c r="M32" s="73"/>
      <c r="N32" s="87"/>
      <c r="O32" s="88"/>
      <c r="P32" s="88"/>
    </row>
    <row r="33" ht="15.75" customHeight="1">
      <c r="M33" s="73"/>
      <c r="N33" s="87"/>
      <c r="O33" s="88"/>
      <c r="P33" s="88"/>
    </row>
    <row r="34" ht="15.75" customHeight="1">
      <c r="M34" s="73"/>
      <c r="N34" s="87"/>
      <c r="O34" s="88"/>
      <c r="P34" s="88"/>
    </row>
    <row r="35" ht="15.75" customHeight="1">
      <c r="M35" s="73"/>
      <c r="N35" s="87"/>
      <c r="O35" s="88"/>
      <c r="P35" s="88"/>
    </row>
    <row r="36" ht="15.75" customHeight="1">
      <c r="M36" s="73"/>
      <c r="N36" s="87"/>
      <c r="O36" s="88"/>
      <c r="P36" s="88"/>
    </row>
    <row r="37" ht="15.75" customHeight="1">
      <c r="M37" s="73"/>
      <c r="N37" s="87"/>
      <c r="O37" s="88"/>
      <c r="P37" s="88"/>
    </row>
    <row r="38" ht="15.75" customHeight="1">
      <c r="M38" s="73"/>
      <c r="N38" s="87"/>
      <c r="O38" s="88"/>
      <c r="P38" s="88"/>
    </row>
    <row r="39" ht="15.75" customHeight="1">
      <c r="M39" s="73"/>
      <c r="N39" s="87"/>
      <c r="O39" s="88"/>
      <c r="P39" s="88"/>
    </row>
    <row r="40" ht="15.75" customHeight="1">
      <c r="M40" s="73"/>
      <c r="N40" s="87"/>
      <c r="O40" s="88"/>
      <c r="P40" s="88"/>
    </row>
    <row r="41" ht="15.75" customHeight="1">
      <c r="M41" s="73"/>
      <c r="N41" s="87"/>
      <c r="O41" s="88"/>
      <c r="P41" s="88"/>
    </row>
    <row r="42" ht="15.75" customHeight="1">
      <c r="M42" s="73"/>
      <c r="N42" s="87"/>
      <c r="O42" s="88"/>
      <c r="P42" s="88"/>
    </row>
    <row r="43" ht="15.75" customHeight="1">
      <c r="M43" s="73"/>
      <c r="N43" s="87"/>
      <c r="O43" s="88"/>
      <c r="P43" s="88"/>
    </row>
    <row r="44" ht="15.75" customHeight="1">
      <c r="M44" s="73"/>
      <c r="N44" s="87"/>
      <c r="O44" s="88"/>
      <c r="P44" s="88"/>
    </row>
    <row r="45" ht="15.75" customHeight="1">
      <c r="M45" s="73"/>
      <c r="N45" s="87"/>
      <c r="O45" s="88"/>
      <c r="P45" s="88"/>
    </row>
    <row r="46" ht="15.75" customHeight="1">
      <c r="M46" s="73"/>
      <c r="N46" s="87"/>
      <c r="O46" s="88"/>
      <c r="P46" s="88"/>
    </row>
    <row r="47" ht="15.75" customHeight="1">
      <c r="M47" s="73"/>
      <c r="N47" s="87"/>
      <c r="O47" s="88"/>
      <c r="P47" s="88"/>
    </row>
    <row r="48" ht="15.75" customHeight="1">
      <c r="M48" s="73"/>
      <c r="N48" s="87"/>
      <c r="O48" s="88"/>
      <c r="P48" s="88"/>
    </row>
    <row r="49" ht="15.75" customHeight="1">
      <c r="M49" s="73"/>
      <c r="N49" s="87"/>
      <c r="O49" s="88"/>
      <c r="P49" s="88"/>
    </row>
    <row r="50" ht="15.75" customHeight="1">
      <c r="M50" s="73"/>
      <c r="N50" s="87"/>
      <c r="O50" s="88"/>
      <c r="P50" s="88"/>
    </row>
    <row r="51" ht="15.75" customHeight="1">
      <c r="M51" s="73"/>
      <c r="N51" s="87"/>
      <c r="O51" s="88"/>
      <c r="P51" s="88"/>
    </row>
    <row r="52" ht="15.75" customHeight="1">
      <c r="M52" s="73"/>
      <c r="N52" s="87"/>
      <c r="O52" s="88"/>
      <c r="P52" s="88"/>
    </row>
    <row r="53" ht="15.75" customHeight="1">
      <c r="M53" s="73"/>
      <c r="N53" s="87"/>
      <c r="O53" s="88"/>
      <c r="P53" s="88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A2:B2"/>
    <mergeCell ref="E2:H2"/>
    <mergeCell ref="E9:H9"/>
    <mergeCell ref="E16:H16"/>
  </mergeCells>
  <conditionalFormatting sqref="F4:H6 F11:H13 F17:H17">
    <cfRule type="cellIs" dxfId="0" priority="1" operator="equal">
      <formula>#REF!</formula>
    </cfRule>
  </conditionalFormatting>
  <conditionalFormatting sqref="F4:H6">
    <cfRule type="cellIs" dxfId="0" priority="2" operator="equal">
      <formula>#REF!</formula>
    </cfRule>
  </conditionalFormatting>
  <conditionalFormatting sqref="F11:H13 F17:H17">
    <cfRule type="cellIs" dxfId="0" priority="3" operator="equal">
      <formula>#REF!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35.43"/>
    <col customWidth="1" min="9" max="9" width="8.86"/>
  </cols>
  <sheetData>
    <row r="2">
      <c r="A2" s="68" t="s">
        <v>328</v>
      </c>
      <c r="B2" s="11"/>
      <c r="C2" s="11"/>
      <c r="D2" s="11"/>
      <c r="E2" s="11"/>
      <c r="F2" s="11"/>
      <c r="H2" s="89" t="s">
        <v>346</v>
      </c>
      <c r="I2" s="11"/>
    </row>
    <row r="3">
      <c r="A3" s="71"/>
      <c r="B3" s="90"/>
      <c r="C3" s="90"/>
      <c r="D3" s="71" t="s">
        <v>22</v>
      </c>
      <c r="E3" s="71" t="s">
        <v>71</v>
      </c>
      <c r="F3" s="71" t="s">
        <v>76</v>
      </c>
      <c r="H3" s="68" t="s">
        <v>347</v>
      </c>
      <c r="I3" s="11"/>
    </row>
    <row r="4">
      <c r="A4" s="71"/>
      <c r="B4" s="91"/>
      <c r="C4" s="91"/>
      <c r="D4" s="92">
        <v>0.85</v>
      </c>
      <c r="E4" s="92">
        <v>1.0</v>
      </c>
      <c r="F4" s="92">
        <v>1.2</v>
      </c>
      <c r="H4" s="93" t="s">
        <v>348</v>
      </c>
      <c r="I4" s="94">
        <v>120.0</v>
      </c>
    </row>
    <row r="5">
      <c r="A5" s="71" t="s">
        <v>20</v>
      </c>
      <c r="B5" s="95">
        <v>0.8</v>
      </c>
      <c r="C5" s="96">
        <f>Markups!B2*B5</f>
        <v>36</v>
      </c>
      <c r="H5" s="73" t="s">
        <v>349</v>
      </c>
      <c r="I5" s="97">
        <v>45.0</v>
      </c>
    </row>
    <row r="6">
      <c r="A6" s="71" t="s">
        <v>70</v>
      </c>
      <c r="B6" s="98">
        <v>1.0</v>
      </c>
      <c r="C6" s="96">
        <f>Markups!B2*B6</f>
        <v>45</v>
      </c>
      <c r="H6" s="73" t="s">
        <v>350</v>
      </c>
      <c r="I6" s="99">
        <v>5.0</v>
      </c>
    </row>
    <row r="7">
      <c r="A7" s="71" t="s">
        <v>80</v>
      </c>
      <c r="B7" s="98">
        <v>1.3</v>
      </c>
      <c r="C7" s="96">
        <f>Markups!B2*B7</f>
        <v>58.5</v>
      </c>
      <c r="H7" s="73" t="s">
        <v>351</v>
      </c>
      <c r="I7" s="100">
        <v>600.0</v>
      </c>
    </row>
    <row r="8">
      <c r="A8" s="3"/>
      <c r="H8" s="68" t="s">
        <v>352</v>
      </c>
      <c r="I8" s="11"/>
    </row>
    <row r="9">
      <c r="A9" s="68" t="s">
        <v>336</v>
      </c>
      <c r="B9" s="11"/>
      <c r="C9" s="11"/>
      <c r="D9" s="11"/>
      <c r="E9" s="11"/>
      <c r="F9" s="11"/>
      <c r="H9" s="93" t="s">
        <v>353</v>
      </c>
      <c r="I9" s="94">
        <v>60.0</v>
      </c>
    </row>
    <row r="10">
      <c r="A10" s="71"/>
      <c r="B10" s="90"/>
      <c r="C10" s="90"/>
      <c r="D10" s="71" t="s">
        <v>22</v>
      </c>
      <c r="E10" s="71" t="s">
        <v>71</v>
      </c>
      <c r="F10" s="71" t="s">
        <v>76</v>
      </c>
      <c r="H10" s="93" t="s">
        <v>349</v>
      </c>
      <c r="I10" s="97">
        <v>30.0</v>
      </c>
    </row>
    <row r="11">
      <c r="A11" s="71"/>
      <c r="B11" s="91"/>
      <c r="C11" s="91"/>
      <c r="D11" s="92">
        <v>1.0</v>
      </c>
      <c r="E11" s="92">
        <v>1.1</v>
      </c>
      <c r="F11" s="92">
        <v>1.2</v>
      </c>
      <c r="H11" s="93" t="s">
        <v>350</v>
      </c>
      <c r="I11" s="97">
        <v>25.0</v>
      </c>
    </row>
    <row r="12">
      <c r="A12" s="71" t="s">
        <v>20</v>
      </c>
      <c r="B12" s="98">
        <v>0.5</v>
      </c>
      <c r="C12" s="96">
        <f>Markups!B3*B12</f>
        <v>5</v>
      </c>
      <c r="H12" s="93" t="s">
        <v>351</v>
      </c>
      <c r="I12" s="100">
        <v>60.0</v>
      </c>
    </row>
    <row r="13">
      <c r="A13" s="71" t="s">
        <v>70</v>
      </c>
      <c r="B13" s="98">
        <v>1.0</v>
      </c>
      <c r="C13" s="96">
        <f>Markups!B3*B13</f>
        <v>10</v>
      </c>
    </row>
    <row r="14">
      <c r="A14" s="71" t="s">
        <v>80</v>
      </c>
      <c r="B14" s="98">
        <v>1.7</v>
      </c>
      <c r="C14" s="96">
        <f>Markups!B3*B14</f>
        <v>17</v>
      </c>
    </row>
    <row r="15">
      <c r="C15" s="86"/>
      <c r="D15" s="86"/>
      <c r="E15" s="86"/>
      <c r="F15" s="86"/>
    </row>
    <row r="16">
      <c r="A16" s="68" t="s">
        <v>344</v>
      </c>
      <c r="B16" s="11"/>
      <c r="C16" s="11"/>
      <c r="D16" s="11"/>
      <c r="E16" s="11"/>
      <c r="F16" s="11"/>
    </row>
    <row r="17">
      <c r="B17" s="90"/>
      <c r="C17" s="90"/>
      <c r="D17" s="71" t="s">
        <v>22</v>
      </c>
      <c r="E17" s="71" t="s">
        <v>71</v>
      </c>
      <c r="F17" s="71" t="s">
        <v>76</v>
      </c>
    </row>
    <row r="18">
      <c r="A18" s="71"/>
      <c r="B18" s="91"/>
      <c r="C18" s="91"/>
      <c r="D18" s="101">
        <v>0.9</v>
      </c>
      <c r="E18" s="92">
        <v>1.0</v>
      </c>
      <c r="F18" s="101">
        <v>1.1</v>
      </c>
    </row>
    <row r="19">
      <c r="A19" s="84" t="s">
        <v>345</v>
      </c>
      <c r="B19" s="95">
        <v>0.71</v>
      </c>
      <c r="C19" s="96"/>
    </row>
    <row r="20">
      <c r="A20" s="71" t="s">
        <v>20</v>
      </c>
      <c r="B20" s="95">
        <v>0.85</v>
      </c>
      <c r="C20" s="96"/>
    </row>
    <row r="21">
      <c r="A21" s="71" t="s">
        <v>70</v>
      </c>
      <c r="B21" s="95">
        <v>1.0</v>
      </c>
      <c r="C21" s="96"/>
    </row>
    <row r="22">
      <c r="A22" s="71" t="s">
        <v>80</v>
      </c>
      <c r="B22" s="95">
        <v>1.15</v>
      </c>
      <c r="C22" s="96"/>
    </row>
  </sheetData>
  <mergeCells count="6">
    <mergeCell ref="A16:F16"/>
    <mergeCell ref="A2:F2"/>
    <mergeCell ref="A9:F9"/>
    <mergeCell ref="H3:I3"/>
    <mergeCell ref="H8:I8"/>
    <mergeCell ref="H2:I2"/>
  </mergeCells>
  <conditionalFormatting sqref="D10:F11 D17:F18">
    <cfRule type="cellIs" dxfId="0" priority="1" operator="equal">
      <formula>$B$25</formula>
    </cfRule>
  </conditionalFormatting>
  <conditionalFormatting sqref="D11:F11 D17:F18">
    <cfRule type="cellIs" dxfId="0" priority="2" operator="equal">
      <formula>$B$22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14"/>
  </cols>
  <sheetData>
    <row r="1">
      <c r="A1" s="102" t="s">
        <v>354</v>
      </c>
      <c r="B1" s="103"/>
    </row>
    <row r="2">
      <c r="A2" s="104" t="s">
        <v>355</v>
      </c>
      <c r="B2" s="97">
        <v>45.0</v>
      </c>
    </row>
    <row r="3">
      <c r="A3" s="104" t="s">
        <v>356</v>
      </c>
      <c r="B3" s="97">
        <v>10.0</v>
      </c>
    </row>
    <row r="4">
      <c r="A4" s="104" t="s">
        <v>357</v>
      </c>
      <c r="B4" s="97">
        <v>25.0</v>
      </c>
    </row>
    <row r="5">
      <c r="A5" s="104" t="s">
        <v>358</v>
      </c>
      <c r="B5" s="105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5.71"/>
  </cols>
  <sheetData>
    <row r="1">
      <c r="A1" s="106" t="s">
        <v>359</v>
      </c>
      <c r="B1" s="11"/>
    </row>
    <row r="2">
      <c r="A2" s="69" t="s">
        <v>360</v>
      </c>
      <c r="B2" s="107">
        <f>SUM(B8:B9)</f>
        <v>1.9</v>
      </c>
    </row>
    <row r="3">
      <c r="A3" s="69" t="s">
        <v>361</v>
      </c>
      <c r="B3" s="108">
        <f>'Annual Fixed Expenses'!B20/'Vehicle Assumptions'!B8</f>
        <v>0.0245</v>
      </c>
    </row>
    <row r="4">
      <c r="A4" s="69" t="s">
        <v>362</v>
      </c>
      <c r="B4" s="109">
        <v>22.0</v>
      </c>
    </row>
    <row r="5">
      <c r="A5" s="12" t="s">
        <v>363</v>
      </c>
      <c r="B5" s="109">
        <v>77.0</v>
      </c>
    </row>
    <row r="7">
      <c r="A7" s="110" t="s">
        <v>364</v>
      </c>
      <c r="B7" s="11"/>
    </row>
    <row r="8">
      <c r="A8" s="73" t="s">
        <v>365</v>
      </c>
      <c r="B8" s="111">
        <v>1.8</v>
      </c>
    </row>
    <row r="9">
      <c r="A9" s="73" t="s">
        <v>366</v>
      </c>
      <c r="B9" s="111">
        <v>0.1</v>
      </c>
    </row>
    <row r="10">
      <c r="A10" s="112" t="s">
        <v>367</v>
      </c>
      <c r="B10" s="113">
        <f>SUM(B8:B9)</f>
        <v>1.9</v>
      </c>
    </row>
    <row r="12">
      <c r="A12" s="114" t="s">
        <v>368</v>
      </c>
      <c r="B12" s="11"/>
    </row>
    <row r="13">
      <c r="A13" s="115" t="s">
        <v>369</v>
      </c>
      <c r="B13" s="116">
        <f>B2/'Vehicle Assumptions'!B2</f>
        <v>0.19</v>
      </c>
    </row>
    <row r="14">
      <c r="A14" s="69" t="s">
        <v>370</v>
      </c>
      <c r="B14" s="117">
        <f>IF(OR('Vehicle Assumptions'!B7=0,'Vehicle Assumptions'!B7&gt;'Vehicle Assumptions'!B6),SUM('Vehicle Depreciation'!I3:I12)/SUM('Vehicle Depreciation'!F3:F12),VLOOKUP('Vehicle Assumptions'!B7,'Vehicle Depreciation'!A2:I12,9))</f>
        <v>0.1407172131</v>
      </c>
    </row>
    <row r="15">
      <c r="A15" s="73" t="s">
        <v>371</v>
      </c>
      <c r="B15" s="118">
        <f>'Annual Fixed Expenses'!B14/'Vehicle Assumptions'!B8</f>
        <v>0.161001875</v>
      </c>
    </row>
    <row r="16">
      <c r="A16" s="119" t="s">
        <v>372</v>
      </c>
      <c r="B16" s="113">
        <f>B13+B14+B15</f>
        <v>0.4917190881</v>
      </c>
    </row>
  </sheetData>
  <mergeCells count="3">
    <mergeCell ref="A1:B1"/>
    <mergeCell ref="A7:B7"/>
    <mergeCell ref="A12:B1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0" t="s">
        <v>373</v>
      </c>
      <c r="B1" s="11"/>
    </row>
    <row r="2">
      <c r="A2" s="69" t="s">
        <v>374</v>
      </c>
      <c r="B2" s="121">
        <v>10.0</v>
      </c>
    </row>
    <row r="3">
      <c r="A3" s="69" t="s">
        <v>375</v>
      </c>
      <c r="B3" s="109">
        <v>67500.0</v>
      </c>
    </row>
    <row r="4">
      <c r="A4" s="69" t="s">
        <v>376</v>
      </c>
      <c r="B4" s="122">
        <f t="array" ref="B4">MIN(IF('Vehicle Depreciation'!G3:G12&gt;0,'Vehicle Depreciation'!G3:G12))</f>
        <v>28327.86885</v>
      </c>
    </row>
    <row r="5">
      <c r="A5" s="69" t="s">
        <v>377</v>
      </c>
      <c r="B5" s="121">
        <v>250000.0</v>
      </c>
    </row>
    <row r="6">
      <c r="A6" s="69" t="s">
        <v>378</v>
      </c>
      <c r="B6" s="123">
        <f>SUM('Vehicle Depreciation'!F3:F12)</f>
        <v>3</v>
      </c>
    </row>
    <row r="7">
      <c r="A7" s="69" t="s">
        <v>379</v>
      </c>
      <c r="B7" s="121">
        <v>0.0</v>
      </c>
    </row>
    <row r="8">
      <c r="A8" s="69" t="s">
        <v>380</v>
      </c>
      <c r="B8" s="121">
        <v>80000.0</v>
      </c>
    </row>
  </sheetData>
  <mergeCells count="1">
    <mergeCell ref="A1:B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124" t="s">
        <v>381</v>
      </c>
      <c r="B2" s="11"/>
    </row>
    <row r="3">
      <c r="A3" s="73" t="s">
        <v>382</v>
      </c>
      <c r="B3" s="125">
        <v>2500.0</v>
      </c>
    </row>
    <row r="4">
      <c r="A4" s="73" t="s">
        <v>383</v>
      </c>
      <c r="B4" s="125">
        <v>400.0</v>
      </c>
    </row>
    <row r="5">
      <c r="A5" s="73" t="s">
        <v>384</v>
      </c>
      <c r="B5" s="125">
        <v>100.0</v>
      </c>
    </row>
    <row r="6">
      <c r="A6" s="73" t="s">
        <v>385</v>
      </c>
      <c r="B6" s="125">
        <v>3000.0</v>
      </c>
    </row>
    <row r="7">
      <c r="A7" s="73" t="s">
        <v>386</v>
      </c>
      <c r="B7" s="125">
        <f>'Annual Fixed Expenses'!B25</f>
        <v>2000</v>
      </c>
    </row>
    <row r="8">
      <c r="A8" s="73"/>
      <c r="B8" s="125"/>
    </row>
    <row r="9">
      <c r="A9" s="73" t="s">
        <v>387</v>
      </c>
      <c r="B9" s="125">
        <v>1000.0</v>
      </c>
    </row>
    <row r="10">
      <c r="A10" s="73" t="s">
        <v>388</v>
      </c>
      <c r="B10" s="125">
        <v>1000.0</v>
      </c>
    </row>
    <row r="11">
      <c r="A11" s="73" t="s">
        <v>389</v>
      </c>
      <c r="B11" s="125">
        <v>1200.0</v>
      </c>
    </row>
    <row r="12">
      <c r="A12" s="12" t="s">
        <v>390</v>
      </c>
      <c r="B12" s="80">
        <v>0.15</v>
      </c>
    </row>
    <row r="13">
      <c r="A13" s="73" t="s">
        <v>391</v>
      </c>
      <c r="B13" s="125">
        <f>SUM(B3:B11)*B12</f>
        <v>1680</v>
      </c>
    </row>
    <row r="14">
      <c r="A14" s="126" t="s">
        <v>392</v>
      </c>
      <c r="B14" s="127">
        <f>SUM(B3:B13)</f>
        <v>12880.15</v>
      </c>
    </row>
    <row r="16">
      <c r="A16" s="120" t="s">
        <v>393</v>
      </c>
      <c r="B16" s="11"/>
    </row>
    <row r="17">
      <c r="A17" s="73" t="s">
        <v>394</v>
      </c>
      <c r="B17" s="111">
        <v>0.07</v>
      </c>
    </row>
    <row r="18">
      <c r="A18" s="12" t="s">
        <v>395</v>
      </c>
      <c r="B18" s="80">
        <v>0.35</v>
      </c>
    </row>
    <row r="19">
      <c r="A19" s="73" t="s">
        <v>396</v>
      </c>
      <c r="B19" s="128">
        <f>'Vehicle Assumptions'!B8*B18</f>
        <v>28000</v>
      </c>
    </row>
    <row r="20">
      <c r="A20" s="112" t="s">
        <v>397</v>
      </c>
      <c r="B20" s="113">
        <f>B17*B19</f>
        <v>1960</v>
      </c>
    </row>
    <row r="22">
      <c r="A22" s="120" t="s">
        <v>398</v>
      </c>
      <c r="B22" s="11"/>
    </row>
    <row r="23">
      <c r="A23" s="73" t="s">
        <v>399</v>
      </c>
      <c r="B23" s="129">
        <v>40000.0</v>
      </c>
    </row>
    <row r="24">
      <c r="A24" s="12" t="s">
        <v>400</v>
      </c>
      <c r="B24" s="111">
        <v>1000.0</v>
      </c>
    </row>
    <row r="25">
      <c r="A25" s="112" t="s">
        <v>401</v>
      </c>
      <c r="B25" s="113">
        <f>'Vehicle Assumptions'!B8/B23*B24</f>
        <v>2000</v>
      </c>
    </row>
  </sheetData>
  <mergeCells count="3">
    <mergeCell ref="A2:B2"/>
    <mergeCell ref="A16:B16"/>
    <mergeCell ref="A22:B2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" t="s">
        <v>402</v>
      </c>
      <c r="B1" s="12" t="s">
        <v>403</v>
      </c>
      <c r="C1" s="12" t="s">
        <v>404</v>
      </c>
    </row>
    <row r="2">
      <c r="A2" s="12">
        <v>0.0</v>
      </c>
      <c r="B2" s="78">
        <f t="shared" ref="B2:B102" si="1">A2*I$21</f>
        <v>0</v>
      </c>
      <c r="C2" s="78">
        <f t="shared" ref="C2:C102" si="2">B2*((100+$I$22*EXP(-1*A2/$I$23))/100)*IF(A2&lt;$I$25,1,(100-($I$24/100*A2)+($I$25*$I$24/100))/100)</f>
        <v>0</v>
      </c>
    </row>
    <row r="3">
      <c r="A3" s="12">
        <v>10.0</v>
      </c>
      <c r="B3" s="78">
        <f t="shared" si="1"/>
        <v>10</v>
      </c>
      <c r="C3" s="78">
        <f t="shared" si="2"/>
        <v>19.60884884</v>
      </c>
    </row>
    <row r="4">
      <c r="A4" s="12">
        <v>20.0</v>
      </c>
      <c r="B4" s="78">
        <f t="shared" si="1"/>
        <v>20</v>
      </c>
      <c r="C4" s="78">
        <f t="shared" si="2"/>
        <v>35.38832932</v>
      </c>
    </row>
    <row r="5">
      <c r="A5" s="12">
        <v>30.0</v>
      </c>
      <c r="B5" s="78">
        <f t="shared" si="1"/>
        <v>30</v>
      </c>
      <c r="C5" s="78">
        <f t="shared" si="2"/>
        <v>48.48301629</v>
      </c>
    </row>
    <row r="6">
      <c r="A6" s="12">
        <v>40.0</v>
      </c>
      <c r="B6" s="78">
        <f t="shared" si="1"/>
        <v>40</v>
      </c>
      <c r="C6" s="78">
        <f t="shared" si="2"/>
        <v>59.73338994</v>
      </c>
    </row>
    <row r="7">
      <c r="A7" s="12">
        <v>50.0</v>
      </c>
      <c r="B7" s="78">
        <f t="shared" si="1"/>
        <v>50</v>
      </c>
      <c r="C7" s="78">
        <f t="shared" si="2"/>
        <v>69.75157927</v>
      </c>
    </row>
    <row r="8">
      <c r="A8" s="12">
        <v>60.0</v>
      </c>
      <c r="B8" s="78">
        <f t="shared" si="1"/>
        <v>60</v>
      </c>
      <c r="C8" s="78">
        <f t="shared" si="2"/>
        <v>78.97899394</v>
      </c>
    </row>
    <row r="9">
      <c r="A9" s="12">
        <v>70.0</v>
      </c>
      <c r="B9" s="78">
        <f t="shared" si="1"/>
        <v>70</v>
      </c>
      <c r="C9" s="78">
        <f t="shared" si="2"/>
        <v>87.73005537</v>
      </c>
    </row>
    <row r="10">
      <c r="A10" s="12">
        <v>80.0</v>
      </c>
      <c r="B10" s="78">
        <f t="shared" si="1"/>
        <v>80</v>
      </c>
      <c r="C10" s="78">
        <f t="shared" si="2"/>
        <v>96.22527828</v>
      </c>
    </row>
    <row r="11">
      <c r="A11" s="12">
        <v>90.0</v>
      </c>
      <c r="B11" s="78">
        <f t="shared" si="1"/>
        <v>90</v>
      </c>
      <c r="C11" s="78">
        <f t="shared" si="2"/>
        <v>104.6162106</v>
      </c>
    </row>
    <row r="12">
      <c r="A12" s="12">
        <v>100.0</v>
      </c>
      <c r="B12" s="78">
        <f t="shared" si="1"/>
        <v>100</v>
      </c>
      <c r="C12" s="78">
        <f t="shared" si="2"/>
        <v>113.0041628</v>
      </c>
    </row>
    <row r="13">
      <c r="A13" s="12">
        <v>110.0</v>
      </c>
      <c r="B13" s="78">
        <f t="shared" si="1"/>
        <v>110</v>
      </c>
      <c r="C13" s="78">
        <f t="shared" si="2"/>
        <v>121.4542115</v>
      </c>
    </row>
    <row r="14">
      <c r="A14" s="12">
        <v>120.0</v>
      </c>
      <c r="B14" s="78">
        <f t="shared" si="1"/>
        <v>120</v>
      </c>
      <c r="C14" s="78">
        <f t="shared" si="2"/>
        <v>130.005617</v>
      </c>
    </row>
    <row r="15">
      <c r="A15" s="12">
        <v>130.0</v>
      </c>
      <c r="B15" s="78">
        <f t="shared" si="1"/>
        <v>130</v>
      </c>
      <c r="C15" s="78">
        <f t="shared" si="2"/>
        <v>138.6795277</v>
      </c>
    </row>
    <row r="16">
      <c r="A16" s="12">
        <v>140.0</v>
      </c>
      <c r="B16" s="78">
        <f t="shared" si="1"/>
        <v>140</v>
      </c>
      <c r="C16" s="78">
        <f t="shared" si="2"/>
        <v>147.4846396</v>
      </c>
    </row>
    <row r="17">
      <c r="A17" s="12">
        <v>150.0</v>
      </c>
      <c r="B17" s="78">
        <f t="shared" si="1"/>
        <v>150</v>
      </c>
      <c r="C17" s="78">
        <f t="shared" si="2"/>
        <v>156.4213188</v>
      </c>
    </row>
    <row r="18">
      <c r="A18" s="12">
        <v>160.0</v>
      </c>
      <c r="B18" s="78">
        <f t="shared" si="1"/>
        <v>160</v>
      </c>
      <c r="C18" s="78">
        <f t="shared" si="2"/>
        <v>165.4845762</v>
      </c>
    </row>
    <row r="19">
      <c r="A19" s="12">
        <v>170.0</v>
      </c>
      <c r="B19" s="78">
        <f t="shared" si="1"/>
        <v>170</v>
      </c>
      <c r="C19" s="78">
        <f t="shared" si="2"/>
        <v>174.6661868</v>
      </c>
    </row>
    <row r="20">
      <c r="A20" s="12">
        <v>180.0</v>
      </c>
      <c r="B20" s="78">
        <f t="shared" si="1"/>
        <v>180</v>
      </c>
      <c r="C20" s="78">
        <f t="shared" si="2"/>
        <v>183.956178</v>
      </c>
    </row>
    <row r="21">
      <c r="A21" s="12">
        <v>190.0</v>
      </c>
      <c r="B21" s="78">
        <f t="shared" si="1"/>
        <v>190</v>
      </c>
      <c r="C21" s="78">
        <f t="shared" si="2"/>
        <v>193.3438519</v>
      </c>
      <c r="I21" s="12">
        <v>1.0</v>
      </c>
    </row>
    <row r="22">
      <c r="A22" s="12">
        <v>200.0</v>
      </c>
      <c r="B22" s="78">
        <f t="shared" si="1"/>
        <v>200</v>
      </c>
      <c r="C22" s="78">
        <f t="shared" si="2"/>
        <v>202.8184708</v>
      </c>
      <c r="H22" s="93" t="s">
        <v>348</v>
      </c>
      <c r="I22" s="94">
        <v>120.0</v>
      </c>
    </row>
    <row r="23">
      <c r="A23" s="12">
        <v>210.0</v>
      </c>
      <c r="B23" s="78">
        <f t="shared" si="1"/>
        <v>210</v>
      </c>
      <c r="C23" s="78">
        <f t="shared" si="2"/>
        <v>212.3696978</v>
      </c>
      <c r="H23" s="73" t="s">
        <v>349</v>
      </c>
      <c r="I23" s="97">
        <v>45.0</v>
      </c>
    </row>
    <row r="24">
      <c r="A24" s="12">
        <v>220.0</v>
      </c>
      <c r="B24" s="78">
        <f t="shared" si="1"/>
        <v>220</v>
      </c>
      <c r="C24" s="78">
        <f t="shared" si="2"/>
        <v>221.987863</v>
      </c>
      <c r="H24" s="73" t="s">
        <v>350</v>
      </c>
      <c r="I24" s="130">
        <v>5.0</v>
      </c>
    </row>
    <row r="25">
      <c r="A25" s="12">
        <v>230.0</v>
      </c>
      <c r="B25" s="78">
        <f t="shared" si="1"/>
        <v>230</v>
      </c>
      <c r="C25" s="78">
        <f t="shared" si="2"/>
        <v>231.6641088</v>
      </c>
      <c r="H25" s="73" t="s">
        <v>351</v>
      </c>
      <c r="I25" s="100">
        <v>600.0</v>
      </c>
    </row>
    <row r="26">
      <c r="A26" s="12">
        <v>240.0</v>
      </c>
      <c r="B26" s="78">
        <f t="shared" si="1"/>
        <v>240</v>
      </c>
      <c r="C26" s="78">
        <f t="shared" si="2"/>
        <v>241.3904496</v>
      </c>
    </row>
    <row r="27">
      <c r="A27" s="12">
        <v>250.0</v>
      </c>
      <c r="B27" s="78">
        <f t="shared" si="1"/>
        <v>250</v>
      </c>
      <c r="C27" s="78">
        <f t="shared" si="2"/>
        <v>251.159776</v>
      </c>
    </row>
    <row r="28">
      <c r="A28" s="12">
        <v>260.0</v>
      </c>
      <c r="B28" s="78">
        <f t="shared" si="1"/>
        <v>260</v>
      </c>
      <c r="C28" s="78">
        <f t="shared" si="2"/>
        <v>260.9658231</v>
      </c>
    </row>
    <row r="29">
      <c r="A29" s="12">
        <v>270.0</v>
      </c>
      <c r="B29" s="78">
        <f t="shared" si="1"/>
        <v>270</v>
      </c>
      <c r="C29" s="78">
        <f t="shared" si="2"/>
        <v>270.8031157</v>
      </c>
    </row>
    <row r="30">
      <c r="A30" s="12">
        <v>280.0</v>
      </c>
      <c r="B30" s="78">
        <f t="shared" si="1"/>
        <v>280</v>
      </c>
      <c r="C30" s="78">
        <f t="shared" si="2"/>
        <v>280.6669027</v>
      </c>
    </row>
    <row r="31">
      <c r="A31" s="12">
        <v>290.0</v>
      </c>
      <c r="B31" s="78">
        <f t="shared" si="1"/>
        <v>290</v>
      </c>
      <c r="C31" s="78">
        <f t="shared" si="2"/>
        <v>290.5530859</v>
      </c>
    </row>
    <row r="32">
      <c r="A32" s="12">
        <v>300.0</v>
      </c>
      <c r="B32" s="78">
        <f t="shared" si="1"/>
        <v>300</v>
      </c>
      <c r="C32" s="78">
        <f t="shared" si="2"/>
        <v>300.4581482</v>
      </c>
    </row>
    <row r="33">
      <c r="A33" s="12">
        <v>310.0</v>
      </c>
      <c r="B33" s="78">
        <f t="shared" si="1"/>
        <v>310</v>
      </c>
      <c r="C33" s="78">
        <f t="shared" si="2"/>
        <v>310.3790849</v>
      </c>
    </row>
    <row r="34">
      <c r="A34" s="12">
        <v>320.0</v>
      </c>
      <c r="B34" s="78">
        <f t="shared" si="1"/>
        <v>320</v>
      </c>
      <c r="C34" s="78">
        <f t="shared" si="2"/>
        <v>320.3133393</v>
      </c>
    </row>
    <row r="35">
      <c r="A35" s="12">
        <v>330.0</v>
      </c>
      <c r="B35" s="78">
        <f t="shared" si="1"/>
        <v>330</v>
      </c>
      <c r="C35" s="78">
        <f t="shared" si="2"/>
        <v>330.2587432</v>
      </c>
    </row>
    <row r="36">
      <c r="A36" s="12">
        <v>340.0</v>
      </c>
      <c r="B36" s="78">
        <f t="shared" si="1"/>
        <v>340</v>
      </c>
      <c r="C36" s="78">
        <f t="shared" si="2"/>
        <v>340.2134637</v>
      </c>
    </row>
    <row r="37">
      <c r="A37" s="12">
        <v>350.0</v>
      </c>
      <c r="B37" s="78">
        <f t="shared" si="1"/>
        <v>350</v>
      </c>
      <c r="C37" s="78">
        <f t="shared" si="2"/>
        <v>350.1759557</v>
      </c>
    </row>
    <row r="38">
      <c r="A38" s="12">
        <v>360.0</v>
      </c>
      <c r="B38" s="78">
        <f t="shared" si="1"/>
        <v>360</v>
      </c>
      <c r="C38" s="78">
        <f t="shared" si="2"/>
        <v>360.1449199</v>
      </c>
    </row>
    <row r="39">
      <c r="A39" s="12">
        <v>370.0</v>
      </c>
      <c r="B39" s="78">
        <f t="shared" si="1"/>
        <v>370</v>
      </c>
      <c r="C39" s="78">
        <f t="shared" si="2"/>
        <v>370.1192662</v>
      </c>
    </row>
    <row r="40">
      <c r="A40" s="12">
        <v>380.0</v>
      </c>
      <c r="B40" s="78">
        <f t="shared" si="1"/>
        <v>380</v>
      </c>
      <c r="C40" s="78">
        <f t="shared" si="2"/>
        <v>380.098082</v>
      </c>
    </row>
    <row r="41">
      <c r="A41" s="12">
        <v>390.0</v>
      </c>
      <c r="B41" s="78">
        <f t="shared" si="1"/>
        <v>390</v>
      </c>
      <c r="C41" s="78">
        <f t="shared" si="2"/>
        <v>390.0806047</v>
      </c>
    </row>
    <row r="42">
      <c r="A42" s="12">
        <v>400.0</v>
      </c>
      <c r="B42" s="78">
        <f t="shared" si="1"/>
        <v>400</v>
      </c>
      <c r="C42" s="78">
        <f t="shared" si="2"/>
        <v>400.0661981</v>
      </c>
    </row>
    <row r="43">
      <c r="A43" s="12">
        <v>410.0</v>
      </c>
      <c r="B43" s="78">
        <f t="shared" si="1"/>
        <v>410</v>
      </c>
      <c r="C43" s="78">
        <f t="shared" si="2"/>
        <v>410.0543325</v>
      </c>
    </row>
    <row r="44">
      <c r="A44" s="12">
        <v>420.0</v>
      </c>
      <c r="B44" s="78">
        <f t="shared" si="1"/>
        <v>420</v>
      </c>
      <c r="C44" s="78">
        <f t="shared" si="2"/>
        <v>420.0445672</v>
      </c>
    </row>
    <row r="45">
      <c r="A45" s="12">
        <v>430.0</v>
      </c>
      <c r="B45" s="78">
        <f t="shared" si="1"/>
        <v>430</v>
      </c>
      <c r="C45" s="78">
        <f t="shared" si="2"/>
        <v>430.0365363</v>
      </c>
    </row>
    <row r="46">
      <c r="A46" s="12">
        <v>440.0</v>
      </c>
      <c r="B46" s="78">
        <f t="shared" si="1"/>
        <v>440</v>
      </c>
      <c r="C46" s="78">
        <f t="shared" si="2"/>
        <v>440.0299364</v>
      </c>
    </row>
    <row r="47">
      <c r="A47" s="12">
        <v>450.0</v>
      </c>
      <c r="B47" s="78">
        <f t="shared" si="1"/>
        <v>450</v>
      </c>
      <c r="C47" s="78">
        <f t="shared" si="2"/>
        <v>450.024516</v>
      </c>
    </row>
    <row r="48">
      <c r="A48" s="12">
        <v>460.0</v>
      </c>
      <c r="B48" s="78">
        <f t="shared" si="1"/>
        <v>460</v>
      </c>
      <c r="C48" s="78">
        <f t="shared" si="2"/>
        <v>460.0200671</v>
      </c>
    </row>
    <row r="49">
      <c r="A49" s="12">
        <v>470.0</v>
      </c>
      <c r="B49" s="78">
        <f t="shared" si="1"/>
        <v>470</v>
      </c>
      <c r="C49" s="78">
        <f t="shared" si="2"/>
        <v>470.0164178</v>
      </c>
    </row>
    <row r="50">
      <c r="A50" s="12">
        <v>480.0</v>
      </c>
      <c r="B50" s="78">
        <f t="shared" si="1"/>
        <v>480</v>
      </c>
      <c r="C50" s="78">
        <f t="shared" si="2"/>
        <v>480.013426</v>
      </c>
    </row>
    <row r="51">
      <c r="A51" s="12">
        <v>490.0</v>
      </c>
      <c r="B51" s="78">
        <f t="shared" si="1"/>
        <v>490</v>
      </c>
      <c r="C51" s="78">
        <f t="shared" si="2"/>
        <v>490.0109747</v>
      </c>
    </row>
    <row r="52">
      <c r="A52" s="12">
        <v>500.0</v>
      </c>
      <c r="B52" s="78">
        <f t="shared" si="1"/>
        <v>500</v>
      </c>
      <c r="C52" s="78">
        <f t="shared" si="2"/>
        <v>500.0089672</v>
      </c>
    </row>
    <row r="53">
      <c r="A53" s="12">
        <v>510.0</v>
      </c>
      <c r="B53" s="78">
        <f t="shared" si="1"/>
        <v>510</v>
      </c>
      <c r="C53" s="78">
        <f t="shared" si="2"/>
        <v>510.007324</v>
      </c>
    </row>
    <row r="54">
      <c r="A54" s="12">
        <v>520.0</v>
      </c>
      <c r="B54" s="78">
        <f t="shared" si="1"/>
        <v>520</v>
      </c>
      <c r="C54" s="78">
        <f t="shared" si="2"/>
        <v>520.0059796</v>
      </c>
    </row>
    <row r="55">
      <c r="A55" s="12">
        <v>530.0</v>
      </c>
      <c r="B55" s="78">
        <f t="shared" si="1"/>
        <v>530</v>
      </c>
      <c r="C55" s="78">
        <f t="shared" si="2"/>
        <v>530.0048802</v>
      </c>
    </row>
    <row r="56">
      <c r="A56" s="12">
        <v>540.0</v>
      </c>
      <c r="B56" s="78">
        <f t="shared" si="1"/>
        <v>540</v>
      </c>
      <c r="C56" s="78">
        <f t="shared" si="2"/>
        <v>540.0039814</v>
      </c>
    </row>
    <row r="57">
      <c r="A57" s="12">
        <v>550.0</v>
      </c>
      <c r="B57" s="78">
        <f t="shared" si="1"/>
        <v>550</v>
      </c>
      <c r="C57" s="78">
        <f t="shared" si="2"/>
        <v>550.0032471</v>
      </c>
    </row>
    <row r="58">
      <c r="A58" s="12">
        <v>560.0</v>
      </c>
      <c r="B58" s="78">
        <f t="shared" si="1"/>
        <v>560</v>
      </c>
      <c r="C58" s="78">
        <f t="shared" si="2"/>
        <v>560.0026474</v>
      </c>
    </row>
    <row r="59">
      <c r="A59" s="12">
        <v>570.0</v>
      </c>
      <c r="B59" s="78">
        <f t="shared" si="1"/>
        <v>570</v>
      </c>
      <c r="C59" s="78">
        <f t="shared" si="2"/>
        <v>570.0021577</v>
      </c>
    </row>
    <row r="60">
      <c r="A60" s="12">
        <v>580.0</v>
      </c>
      <c r="B60" s="78">
        <f t="shared" si="1"/>
        <v>580</v>
      </c>
      <c r="C60" s="78">
        <f t="shared" si="2"/>
        <v>580.0017581</v>
      </c>
    </row>
    <row r="61">
      <c r="A61" s="12">
        <v>590.0</v>
      </c>
      <c r="B61" s="78">
        <f t="shared" si="1"/>
        <v>590</v>
      </c>
      <c r="C61" s="78">
        <f t="shared" si="2"/>
        <v>590.001432</v>
      </c>
    </row>
    <row r="62">
      <c r="A62" s="12">
        <v>600.0</v>
      </c>
      <c r="B62" s="78">
        <f t="shared" si="1"/>
        <v>600</v>
      </c>
      <c r="C62" s="78">
        <f t="shared" si="2"/>
        <v>600.0011661</v>
      </c>
    </row>
    <row r="63">
      <c r="A63" s="12">
        <v>610.0</v>
      </c>
      <c r="B63" s="78">
        <f t="shared" si="1"/>
        <v>610</v>
      </c>
      <c r="C63" s="78">
        <f t="shared" si="2"/>
        <v>606.9509446</v>
      </c>
    </row>
    <row r="64">
      <c r="A64" s="12">
        <v>620.0</v>
      </c>
      <c r="B64" s="78">
        <f t="shared" si="1"/>
        <v>620</v>
      </c>
      <c r="C64" s="78">
        <f t="shared" si="2"/>
        <v>613.8007649</v>
      </c>
    </row>
    <row r="65">
      <c r="A65" s="12">
        <v>630.0</v>
      </c>
      <c r="B65" s="78">
        <f t="shared" si="1"/>
        <v>630</v>
      </c>
      <c r="C65" s="78">
        <f t="shared" si="2"/>
        <v>620.5506192</v>
      </c>
    </row>
    <row r="66">
      <c r="A66" s="12">
        <v>640.0</v>
      </c>
      <c r="B66" s="78">
        <f t="shared" si="1"/>
        <v>640</v>
      </c>
      <c r="C66" s="78">
        <f t="shared" si="2"/>
        <v>627.2005011</v>
      </c>
    </row>
    <row r="67">
      <c r="A67" s="12">
        <v>650.0</v>
      </c>
      <c r="B67" s="78">
        <f t="shared" si="1"/>
        <v>650</v>
      </c>
      <c r="C67" s="78">
        <f t="shared" si="2"/>
        <v>633.7504055</v>
      </c>
    </row>
    <row r="68">
      <c r="A68" s="12">
        <v>660.0</v>
      </c>
      <c r="B68" s="78">
        <f t="shared" si="1"/>
        <v>660</v>
      </c>
      <c r="C68" s="78">
        <f t="shared" si="2"/>
        <v>640.200328</v>
      </c>
    </row>
    <row r="69">
      <c r="A69" s="12">
        <v>670.0</v>
      </c>
      <c r="B69" s="78">
        <f t="shared" si="1"/>
        <v>670</v>
      </c>
      <c r="C69" s="78">
        <f t="shared" si="2"/>
        <v>646.5502652</v>
      </c>
    </row>
    <row r="70">
      <c r="A70" s="12">
        <v>680.0</v>
      </c>
      <c r="B70" s="78">
        <f t="shared" si="1"/>
        <v>680</v>
      </c>
      <c r="C70" s="78">
        <f t="shared" si="2"/>
        <v>652.8002144</v>
      </c>
    </row>
    <row r="71">
      <c r="A71" s="12">
        <v>690.0</v>
      </c>
      <c r="B71" s="78">
        <f t="shared" si="1"/>
        <v>690</v>
      </c>
      <c r="C71" s="78">
        <f t="shared" si="2"/>
        <v>658.9501733</v>
      </c>
    </row>
    <row r="72">
      <c r="A72" s="12">
        <v>700.0</v>
      </c>
      <c r="B72" s="78">
        <f t="shared" si="1"/>
        <v>700</v>
      </c>
      <c r="C72" s="78">
        <f t="shared" si="2"/>
        <v>665.0001401</v>
      </c>
    </row>
    <row r="73">
      <c r="A73" s="12">
        <v>710.0</v>
      </c>
      <c r="B73" s="78">
        <f t="shared" si="1"/>
        <v>710</v>
      </c>
      <c r="C73" s="78">
        <f t="shared" si="2"/>
        <v>670.9501132</v>
      </c>
    </row>
    <row r="74">
      <c r="A74" s="12">
        <v>720.0</v>
      </c>
      <c r="B74" s="78">
        <f t="shared" si="1"/>
        <v>720</v>
      </c>
      <c r="C74" s="78">
        <f t="shared" si="2"/>
        <v>676.8000914</v>
      </c>
    </row>
    <row r="75">
      <c r="A75" s="12">
        <v>730.0</v>
      </c>
      <c r="B75" s="78">
        <f t="shared" si="1"/>
        <v>730</v>
      </c>
      <c r="C75" s="78">
        <f t="shared" si="2"/>
        <v>682.5500738</v>
      </c>
    </row>
    <row r="76">
      <c r="A76" s="12">
        <v>740.0</v>
      </c>
      <c r="B76" s="78">
        <f t="shared" si="1"/>
        <v>740</v>
      </c>
      <c r="C76" s="78">
        <f t="shared" si="2"/>
        <v>688.2000596</v>
      </c>
    </row>
    <row r="77">
      <c r="A77" s="12">
        <v>750.0</v>
      </c>
      <c r="B77" s="78">
        <f t="shared" si="1"/>
        <v>750</v>
      </c>
      <c r="C77" s="78">
        <f t="shared" si="2"/>
        <v>693.7500481</v>
      </c>
    </row>
    <row r="78">
      <c r="A78" s="12">
        <v>760.0</v>
      </c>
      <c r="B78" s="78">
        <f t="shared" si="1"/>
        <v>760</v>
      </c>
      <c r="C78" s="78">
        <f t="shared" si="2"/>
        <v>699.2000388</v>
      </c>
    </row>
    <row r="79">
      <c r="A79" s="12">
        <v>770.0</v>
      </c>
      <c r="B79" s="78">
        <f t="shared" si="1"/>
        <v>770</v>
      </c>
      <c r="C79" s="78">
        <f t="shared" si="2"/>
        <v>704.5500313</v>
      </c>
    </row>
    <row r="80">
      <c r="A80" s="12">
        <v>780.0</v>
      </c>
      <c r="B80" s="78">
        <f t="shared" si="1"/>
        <v>780</v>
      </c>
      <c r="C80" s="78">
        <f t="shared" si="2"/>
        <v>709.8000253</v>
      </c>
    </row>
    <row r="81">
      <c r="A81" s="12">
        <v>790.0</v>
      </c>
      <c r="B81" s="78">
        <f t="shared" si="1"/>
        <v>790</v>
      </c>
      <c r="C81" s="78">
        <f t="shared" si="2"/>
        <v>714.9500204</v>
      </c>
    </row>
    <row r="82">
      <c r="A82" s="12">
        <v>800.0</v>
      </c>
      <c r="B82" s="78">
        <f t="shared" si="1"/>
        <v>800</v>
      </c>
      <c r="C82" s="78">
        <f t="shared" si="2"/>
        <v>720.0000164</v>
      </c>
    </row>
    <row r="83">
      <c r="A83" s="12">
        <v>810.0</v>
      </c>
      <c r="B83" s="78">
        <f t="shared" si="1"/>
        <v>810</v>
      </c>
      <c r="C83" s="78">
        <f t="shared" si="2"/>
        <v>724.9500132</v>
      </c>
    </row>
    <row r="84">
      <c r="A84" s="12">
        <v>820.0</v>
      </c>
      <c r="B84" s="78">
        <f t="shared" si="1"/>
        <v>820</v>
      </c>
      <c r="C84" s="78">
        <f t="shared" si="2"/>
        <v>729.8000107</v>
      </c>
    </row>
    <row r="85">
      <c r="A85" s="12">
        <v>830.0</v>
      </c>
      <c r="B85" s="78">
        <f t="shared" si="1"/>
        <v>830</v>
      </c>
      <c r="C85" s="78">
        <f t="shared" si="2"/>
        <v>734.5500086</v>
      </c>
    </row>
    <row r="86">
      <c r="A86" s="12">
        <v>840.0</v>
      </c>
      <c r="B86" s="78">
        <f t="shared" si="1"/>
        <v>840</v>
      </c>
      <c r="C86" s="78">
        <f t="shared" si="2"/>
        <v>739.2000069</v>
      </c>
    </row>
    <row r="87">
      <c r="A87" s="12">
        <v>850.0</v>
      </c>
      <c r="B87" s="78">
        <f t="shared" si="1"/>
        <v>850</v>
      </c>
      <c r="C87" s="78">
        <f t="shared" si="2"/>
        <v>743.7500056</v>
      </c>
    </row>
    <row r="88">
      <c r="A88" s="12">
        <v>860.0</v>
      </c>
      <c r="B88" s="78">
        <f t="shared" si="1"/>
        <v>860</v>
      </c>
      <c r="C88" s="78">
        <f t="shared" si="2"/>
        <v>748.2000045</v>
      </c>
    </row>
    <row r="89">
      <c r="A89" s="12">
        <v>870.0</v>
      </c>
      <c r="B89" s="78">
        <f t="shared" si="1"/>
        <v>870</v>
      </c>
      <c r="C89" s="78">
        <f t="shared" si="2"/>
        <v>752.5500036</v>
      </c>
    </row>
    <row r="90">
      <c r="A90" s="12">
        <v>880.0</v>
      </c>
      <c r="B90" s="78">
        <f t="shared" si="1"/>
        <v>880</v>
      </c>
      <c r="C90" s="78">
        <f t="shared" si="2"/>
        <v>756.8000029</v>
      </c>
    </row>
    <row r="91">
      <c r="A91" s="12">
        <v>890.0</v>
      </c>
      <c r="B91" s="78">
        <f t="shared" si="1"/>
        <v>890</v>
      </c>
      <c r="C91" s="78">
        <f t="shared" si="2"/>
        <v>760.9500024</v>
      </c>
    </row>
    <row r="92">
      <c r="A92" s="12">
        <v>900.0</v>
      </c>
      <c r="B92" s="78">
        <f t="shared" si="1"/>
        <v>900</v>
      </c>
      <c r="C92" s="78">
        <f t="shared" si="2"/>
        <v>765.0000019</v>
      </c>
    </row>
    <row r="93">
      <c r="A93" s="12">
        <v>910.0</v>
      </c>
      <c r="B93" s="78">
        <f t="shared" si="1"/>
        <v>910</v>
      </c>
      <c r="C93" s="78">
        <f t="shared" si="2"/>
        <v>768.9500015</v>
      </c>
    </row>
    <row r="94">
      <c r="A94" s="12">
        <v>920.0</v>
      </c>
      <c r="B94" s="78">
        <f t="shared" si="1"/>
        <v>920</v>
      </c>
      <c r="C94" s="78">
        <f t="shared" si="2"/>
        <v>772.8000012</v>
      </c>
    </row>
    <row r="95">
      <c r="A95" s="12">
        <v>930.0</v>
      </c>
      <c r="B95" s="78">
        <f t="shared" si="1"/>
        <v>930</v>
      </c>
      <c r="C95" s="78">
        <f t="shared" si="2"/>
        <v>776.550001</v>
      </c>
    </row>
    <row r="96">
      <c r="A96" s="12">
        <v>940.0</v>
      </c>
      <c r="B96" s="78">
        <f t="shared" si="1"/>
        <v>940</v>
      </c>
      <c r="C96" s="78">
        <f t="shared" si="2"/>
        <v>780.2000008</v>
      </c>
    </row>
    <row r="97">
      <c r="A97" s="12">
        <v>950.0</v>
      </c>
      <c r="B97" s="78">
        <f t="shared" si="1"/>
        <v>950</v>
      </c>
      <c r="C97" s="78">
        <f t="shared" si="2"/>
        <v>783.7500006</v>
      </c>
    </row>
    <row r="98">
      <c r="A98" s="12">
        <v>960.0</v>
      </c>
      <c r="B98" s="78">
        <f t="shared" si="1"/>
        <v>960</v>
      </c>
      <c r="C98" s="78">
        <f t="shared" si="2"/>
        <v>787.2000005</v>
      </c>
    </row>
    <row r="99">
      <c r="A99" s="12">
        <v>970.0</v>
      </c>
      <c r="B99" s="78">
        <f t="shared" si="1"/>
        <v>970</v>
      </c>
      <c r="C99" s="78">
        <f t="shared" si="2"/>
        <v>790.5500004</v>
      </c>
    </row>
    <row r="100">
      <c r="A100" s="12">
        <v>980.0</v>
      </c>
      <c r="B100" s="78">
        <f t="shared" si="1"/>
        <v>980</v>
      </c>
      <c r="C100" s="78">
        <f t="shared" si="2"/>
        <v>793.8000003</v>
      </c>
    </row>
    <row r="101">
      <c r="A101" s="12">
        <v>990.0</v>
      </c>
      <c r="B101" s="78">
        <f t="shared" si="1"/>
        <v>990</v>
      </c>
      <c r="C101" s="78">
        <f t="shared" si="2"/>
        <v>796.9500003</v>
      </c>
    </row>
    <row r="102">
      <c r="A102" s="12">
        <v>1000.0</v>
      </c>
      <c r="B102" s="78">
        <f t="shared" si="1"/>
        <v>1000</v>
      </c>
      <c r="C102" s="78">
        <f t="shared" si="2"/>
        <v>800.0000002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26.86"/>
    <col customWidth="1" min="3" max="3" width="9.29"/>
    <col customWidth="1" min="4" max="4" width="4.0"/>
    <col customWidth="1" min="5" max="5" width="4.43"/>
    <col customWidth="1" min="6" max="8" width="7.86"/>
    <col customWidth="1" min="9" max="10" width="6.0"/>
    <col customWidth="1" min="11" max="11" width="13.14"/>
    <col customWidth="1" min="12" max="13" width="11.43"/>
  </cols>
  <sheetData>
    <row r="1">
      <c r="A1" s="131" t="s">
        <v>405</v>
      </c>
      <c r="B1" s="132"/>
      <c r="C1" s="133" t="s">
        <v>406</v>
      </c>
      <c r="D1" s="131" t="s">
        <v>407</v>
      </c>
      <c r="E1" s="131" t="s">
        <v>408</v>
      </c>
      <c r="F1" s="131" t="s">
        <v>409</v>
      </c>
      <c r="G1" s="131" t="s">
        <v>410</v>
      </c>
      <c r="H1" s="131" t="s">
        <v>411</v>
      </c>
      <c r="I1" s="131" t="s">
        <v>412</v>
      </c>
      <c r="J1" s="131" t="s">
        <v>413</v>
      </c>
      <c r="K1" s="134" t="s">
        <v>414</v>
      </c>
      <c r="L1" s="3"/>
      <c r="M1" s="3"/>
    </row>
    <row r="2" ht="15.75" customHeight="1">
      <c r="A2" s="135" t="s">
        <v>415</v>
      </c>
      <c r="B2" s="135"/>
      <c r="C2" s="136"/>
      <c r="D2" s="137">
        <v>0.0</v>
      </c>
      <c r="E2" s="137">
        <v>0.0</v>
      </c>
      <c r="F2" s="138">
        <v>0.0</v>
      </c>
      <c r="G2" s="138">
        <v>0.0</v>
      </c>
      <c r="H2" s="138">
        <v>0.0</v>
      </c>
      <c r="I2" s="138">
        <v>0.0</v>
      </c>
      <c r="J2" s="138">
        <v>0.0</v>
      </c>
      <c r="K2" s="139">
        <f t="shared" ref="K2:K4" si="1">SUM(G2:J2)</f>
        <v>0</v>
      </c>
    </row>
    <row r="3">
      <c r="A3" s="140" t="str">
        <f t="shared" ref="A3:A43" si="2"> CONCATENATE(B3, " - ",C3)</f>
        <v>Chianti Classico - TOUR HD</v>
      </c>
      <c r="B3" s="140" t="s">
        <v>416</v>
      </c>
      <c r="C3" s="141" t="s">
        <v>92</v>
      </c>
      <c r="D3" s="142">
        <v>5.0</v>
      </c>
      <c r="E3" s="142">
        <v>150.0</v>
      </c>
      <c r="F3" s="143">
        <v>0.0</v>
      </c>
      <c r="G3" s="143">
        <v>50.0</v>
      </c>
      <c r="H3" s="143">
        <v>20.0</v>
      </c>
      <c r="I3" s="143">
        <v>0.0</v>
      </c>
      <c r="J3" s="143">
        <v>0.0</v>
      </c>
      <c r="K3" s="144">
        <f t="shared" si="1"/>
        <v>70</v>
      </c>
    </row>
    <row r="4">
      <c r="A4" s="145" t="str">
        <f t="shared" si="2"/>
        <v>Montalcino - TOUR HD</v>
      </c>
      <c r="B4" s="145" t="s">
        <v>417</v>
      </c>
      <c r="C4" s="141" t="s">
        <v>92</v>
      </c>
      <c r="D4" s="146">
        <v>5.0</v>
      </c>
      <c r="E4" s="146">
        <v>150.0</v>
      </c>
      <c r="F4" s="111">
        <v>0.0</v>
      </c>
      <c r="G4" s="111">
        <v>50.0</v>
      </c>
      <c r="H4" s="111">
        <v>20.0</v>
      </c>
      <c r="I4" s="111">
        <v>0.0</v>
      </c>
      <c r="J4" s="111">
        <v>0.0</v>
      </c>
      <c r="K4" s="147">
        <f t="shared" si="1"/>
        <v>70</v>
      </c>
    </row>
    <row r="5">
      <c r="A5" s="148" t="str">
        <f t="shared" si="2"/>
        <v>Monteriggioni-SanGi - TOUR HD</v>
      </c>
      <c r="B5" s="148" t="s">
        <v>418</v>
      </c>
      <c r="C5" s="141" t="s">
        <v>92</v>
      </c>
      <c r="D5" s="149">
        <v>5.0</v>
      </c>
      <c r="E5" s="149">
        <v>150.0</v>
      </c>
      <c r="F5" s="150">
        <v>0.0</v>
      </c>
      <c r="G5" s="150"/>
      <c r="H5" s="150"/>
      <c r="I5" s="150"/>
      <c r="J5" s="150"/>
      <c r="K5" s="151"/>
    </row>
    <row r="6">
      <c r="A6" s="140" t="str">
        <f t="shared" si="2"/>
        <v>Modena - TOUR FD+</v>
      </c>
      <c r="B6" s="140" t="s">
        <v>419</v>
      </c>
      <c r="C6" s="141" t="s">
        <v>69</v>
      </c>
      <c r="D6" s="142">
        <v>10.0</v>
      </c>
      <c r="E6" s="142">
        <v>400.0</v>
      </c>
      <c r="F6" s="143">
        <v>20.0</v>
      </c>
      <c r="G6" s="143"/>
      <c r="H6" s="143"/>
      <c r="I6" s="143"/>
      <c r="J6" s="143"/>
      <c r="K6" s="144"/>
    </row>
    <row r="7">
      <c r="A7" s="145" t="str">
        <f t="shared" si="2"/>
        <v>Bolgheri - TOUR FD+</v>
      </c>
      <c r="B7" s="145" t="s">
        <v>420</v>
      </c>
      <c r="C7" s="141" t="s">
        <v>69</v>
      </c>
      <c r="D7" s="146">
        <v>10.0</v>
      </c>
      <c r="E7" s="146">
        <v>400.0</v>
      </c>
      <c r="F7" s="111">
        <v>0.0</v>
      </c>
      <c r="G7" s="111"/>
      <c r="H7" s="111"/>
      <c r="I7" s="111"/>
      <c r="J7" s="111"/>
      <c r="K7" s="147"/>
    </row>
    <row r="8">
      <c r="A8" s="148" t="str">
        <f t="shared" si="2"/>
        <v>Suvereto - TOUR FD+</v>
      </c>
      <c r="B8" s="148" t="s">
        <v>421</v>
      </c>
      <c r="C8" s="141" t="s">
        <v>69</v>
      </c>
      <c r="D8" s="149">
        <v>10.0</v>
      </c>
      <c r="E8" s="149">
        <v>400.0</v>
      </c>
      <c r="F8" s="150">
        <v>0.0</v>
      </c>
      <c r="G8" s="150"/>
      <c r="H8" s="150"/>
      <c r="I8" s="150"/>
      <c r="J8" s="150"/>
      <c r="K8" s="151"/>
    </row>
    <row r="9">
      <c r="A9" s="140" t="str">
        <f t="shared" si="2"/>
        <v>Chianti Classico - TOUR FD</v>
      </c>
      <c r="B9" s="140" t="s">
        <v>416</v>
      </c>
      <c r="C9" s="141" t="s">
        <v>9</v>
      </c>
      <c r="D9" s="142">
        <v>8.0</v>
      </c>
      <c r="E9" s="142">
        <v>250.0</v>
      </c>
      <c r="F9" s="143">
        <v>0.0</v>
      </c>
      <c r="G9" s="143">
        <v>50.0</v>
      </c>
      <c r="H9" s="143">
        <v>20.0</v>
      </c>
      <c r="I9" s="143">
        <v>0.0</v>
      </c>
      <c r="J9" s="143">
        <v>0.0</v>
      </c>
      <c r="K9" s="144">
        <f t="shared" ref="K9:K10" si="3">SUM(G9:J9)</f>
        <v>70</v>
      </c>
    </row>
    <row r="10">
      <c r="A10" s="145" t="str">
        <f t="shared" si="2"/>
        <v>Montalcino-Pienza - TOUR FD</v>
      </c>
      <c r="B10" s="145" t="s">
        <v>422</v>
      </c>
      <c r="C10" s="141" t="s">
        <v>9</v>
      </c>
      <c r="D10" s="146">
        <v>9.0</v>
      </c>
      <c r="E10" s="146">
        <v>250.0</v>
      </c>
      <c r="F10" s="111">
        <v>0.0</v>
      </c>
      <c r="G10" s="111">
        <v>50.0</v>
      </c>
      <c r="H10" s="111">
        <v>20.0</v>
      </c>
      <c r="I10" s="111">
        <v>0.0</v>
      </c>
      <c r="J10" s="111">
        <v>0.0</v>
      </c>
      <c r="K10" s="147">
        <f t="shared" si="3"/>
        <v>70</v>
      </c>
    </row>
    <row r="11">
      <c r="A11" s="145" t="str">
        <f t="shared" si="2"/>
        <v>Pisa-Lucca - TOUR FD</v>
      </c>
      <c r="B11" s="145" t="s">
        <v>423</v>
      </c>
      <c r="C11" s="141" t="s">
        <v>9</v>
      </c>
      <c r="D11" s="146">
        <v>9.0</v>
      </c>
      <c r="E11" s="146">
        <v>300.0</v>
      </c>
      <c r="F11" s="111">
        <v>0.0</v>
      </c>
      <c r="G11" s="111"/>
      <c r="H11" s="111"/>
      <c r="I11" s="111"/>
      <c r="J11" s="111"/>
      <c r="K11" s="147"/>
    </row>
    <row r="12">
      <c r="A12" s="145" t="str">
        <f t="shared" si="2"/>
        <v>Monteriggioni-SanGi-Volterra - TOUR FD</v>
      </c>
      <c r="B12" s="145" t="s">
        <v>424</v>
      </c>
      <c r="C12" s="141" t="s">
        <v>9</v>
      </c>
      <c r="D12" s="146">
        <v>9.0</v>
      </c>
      <c r="E12" s="146">
        <v>250.0</v>
      </c>
      <c r="F12" s="111">
        <v>0.0</v>
      </c>
      <c r="G12" s="111"/>
      <c r="H12" s="111"/>
      <c r="I12" s="111"/>
      <c r="J12" s="111"/>
      <c r="K12" s="147"/>
    </row>
    <row r="13">
      <c r="A13" s="148" t="str">
        <f t="shared" si="2"/>
        <v>Assisi - TOUR FD</v>
      </c>
      <c r="B13" s="148" t="s">
        <v>425</v>
      </c>
      <c r="C13" s="141" t="s">
        <v>9</v>
      </c>
      <c r="D13" s="149">
        <v>9.0</v>
      </c>
      <c r="E13" s="149">
        <v>300.0</v>
      </c>
      <c r="F13" s="150">
        <v>0.0</v>
      </c>
      <c r="G13" s="150"/>
      <c r="H13" s="150"/>
      <c r="I13" s="150"/>
      <c r="J13" s="150"/>
      <c r="K13" s="151"/>
    </row>
    <row r="14">
      <c r="A14" s="145" t="str">
        <f t="shared" si="2"/>
        <v>Siena - TRF</v>
      </c>
      <c r="B14" s="145" t="s">
        <v>426</v>
      </c>
      <c r="C14" s="152" t="s">
        <v>79</v>
      </c>
      <c r="D14" s="146">
        <v>1.0</v>
      </c>
      <c r="E14" s="146">
        <v>10.0</v>
      </c>
      <c r="F14" s="111">
        <v>0.0</v>
      </c>
      <c r="G14" s="111"/>
      <c r="H14" s="111"/>
      <c r="I14" s="111"/>
      <c r="J14" s="111"/>
      <c r="K14" s="147"/>
    </row>
    <row r="15">
      <c r="A15" s="145" t="str">
        <f t="shared" si="2"/>
        <v>Siena dintorni - TRF</v>
      </c>
      <c r="B15" s="145" t="s">
        <v>427</v>
      </c>
      <c r="C15" s="152" t="s">
        <v>79</v>
      </c>
      <c r="D15" s="146">
        <v>2.0</v>
      </c>
      <c r="E15" s="146">
        <v>30.0</v>
      </c>
      <c r="F15" s="111">
        <v>0.0</v>
      </c>
      <c r="G15" s="111"/>
      <c r="H15" s="111"/>
      <c r="I15" s="111"/>
      <c r="J15" s="111"/>
      <c r="K15" s="147"/>
    </row>
    <row r="16">
      <c r="A16" s="145" t="str">
        <f t="shared" si="2"/>
        <v>Arezzo - TRF</v>
      </c>
      <c r="B16" s="145" t="s">
        <v>428</v>
      </c>
      <c r="C16" s="152" t="s">
        <v>79</v>
      </c>
      <c r="D16" s="146">
        <v>3.0</v>
      </c>
      <c r="E16" s="146">
        <v>180.0</v>
      </c>
      <c r="F16" s="111">
        <v>0.0</v>
      </c>
      <c r="G16" s="111"/>
      <c r="H16" s="111"/>
      <c r="I16" s="111"/>
      <c r="J16" s="111"/>
      <c r="K16" s="147"/>
    </row>
    <row r="17">
      <c r="A17" s="145" t="str">
        <f t="shared" si="2"/>
        <v>Chiusi - TRF</v>
      </c>
      <c r="B17" s="145" t="s">
        <v>429</v>
      </c>
      <c r="C17" s="152" t="s">
        <v>79</v>
      </c>
      <c r="D17" s="146">
        <v>3.0</v>
      </c>
      <c r="E17" s="146">
        <v>180.0</v>
      </c>
      <c r="F17" s="111">
        <v>5.0</v>
      </c>
      <c r="G17" s="111"/>
      <c r="H17" s="111"/>
      <c r="I17" s="111"/>
      <c r="J17" s="111"/>
      <c r="K17" s="147"/>
    </row>
    <row r="18">
      <c r="A18" s="145" t="str">
        <f t="shared" si="2"/>
        <v>Civitavecchia - TRF</v>
      </c>
      <c r="B18" s="145" t="s">
        <v>430</v>
      </c>
      <c r="C18" s="152" t="s">
        <v>79</v>
      </c>
      <c r="D18" s="146">
        <v>5.0</v>
      </c>
      <c r="E18" s="146">
        <v>370.0</v>
      </c>
      <c r="F18" s="111">
        <v>5.0</v>
      </c>
      <c r="G18" s="111"/>
      <c r="H18" s="111"/>
      <c r="I18" s="111"/>
      <c r="J18" s="111"/>
      <c r="K18" s="147"/>
    </row>
    <row r="19" ht="15.75" customHeight="1">
      <c r="A19" s="145" t="str">
        <f t="shared" si="2"/>
        <v>Cortona - TRF</v>
      </c>
      <c r="B19" s="145" t="s">
        <v>431</v>
      </c>
      <c r="C19" s="152" t="s">
        <v>79</v>
      </c>
      <c r="D19" s="146">
        <v>3.0</v>
      </c>
      <c r="E19" s="146">
        <v>150.0</v>
      </c>
      <c r="F19" s="111">
        <v>0.0</v>
      </c>
      <c r="G19" s="111"/>
      <c r="H19" s="111"/>
      <c r="I19" s="111"/>
      <c r="J19" s="111"/>
      <c r="K19" s="147"/>
    </row>
    <row r="20" ht="15.75" customHeight="1">
      <c r="A20" s="145" t="str">
        <f t="shared" si="2"/>
        <v>Grosseto - TRF</v>
      </c>
      <c r="B20" s="145" t="s">
        <v>432</v>
      </c>
      <c r="C20" s="152" t="s">
        <v>79</v>
      </c>
      <c r="D20" s="146">
        <v>3.0</v>
      </c>
      <c r="E20" s="146">
        <v>150.0</v>
      </c>
      <c r="F20" s="111">
        <v>0.0</v>
      </c>
      <c r="G20" s="111"/>
      <c r="H20" s="111"/>
      <c r="I20" s="111"/>
      <c r="J20" s="111"/>
      <c r="K20" s="147"/>
    </row>
    <row r="21" ht="15.75" customHeight="1">
      <c r="A21" s="145" t="str">
        <f t="shared" si="2"/>
        <v>Como - TRF</v>
      </c>
      <c r="B21" s="145" t="s">
        <v>433</v>
      </c>
      <c r="C21" s="152" t="s">
        <v>79</v>
      </c>
      <c r="D21" s="146">
        <v>10.0</v>
      </c>
      <c r="E21" s="146">
        <v>840.0</v>
      </c>
      <c r="F21" s="111">
        <v>65.0</v>
      </c>
      <c r="G21" s="111"/>
      <c r="H21" s="111"/>
      <c r="I21" s="111"/>
      <c r="J21" s="111"/>
      <c r="K21" s="147"/>
    </row>
    <row r="22" ht="15.75" customHeight="1">
      <c r="A22" s="145" t="str">
        <f t="shared" si="2"/>
        <v>Bologna - TRF</v>
      </c>
      <c r="B22" s="145" t="s">
        <v>434</v>
      </c>
      <c r="C22" s="152" t="s">
        <v>79</v>
      </c>
      <c r="D22" s="146">
        <v>5.0</v>
      </c>
      <c r="E22" s="146">
        <v>340.0</v>
      </c>
      <c r="F22" s="111">
        <v>20.0</v>
      </c>
      <c r="G22" s="111"/>
      <c r="H22" s="111"/>
      <c r="I22" s="111"/>
      <c r="J22" s="111"/>
      <c r="K22" s="147"/>
    </row>
    <row r="23" ht="15.75" customHeight="1">
      <c r="A23" s="145" t="str">
        <f t="shared" si="2"/>
        <v>Firenze - TRF</v>
      </c>
      <c r="B23" s="145" t="s">
        <v>435</v>
      </c>
      <c r="C23" s="152" t="s">
        <v>79</v>
      </c>
      <c r="D23" s="146">
        <v>3.0</v>
      </c>
      <c r="E23" s="146">
        <v>150.0</v>
      </c>
      <c r="F23" s="111">
        <v>0.0</v>
      </c>
      <c r="G23" s="111"/>
      <c r="H23" s="111"/>
      <c r="I23" s="111"/>
      <c r="J23" s="111"/>
      <c r="K23" s="147"/>
    </row>
    <row r="24" ht="15.75" customHeight="1">
      <c r="A24" s="145" t="str">
        <f t="shared" si="2"/>
        <v>Genova - TRF</v>
      </c>
      <c r="B24" s="145" t="s">
        <v>436</v>
      </c>
      <c r="C24" s="152" t="s">
        <v>79</v>
      </c>
      <c r="D24" s="146">
        <v>7.0</v>
      </c>
      <c r="E24" s="146">
        <v>600.0</v>
      </c>
      <c r="F24" s="111">
        <v>50.0</v>
      </c>
      <c r="G24" s="111"/>
      <c r="H24" s="111"/>
      <c r="I24" s="111"/>
      <c r="J24" s="111"/>
      <c r="K24" s="147"/>
    </row>
    <row r="25" ht="15.75" customHeight="1">
      <c r="A25" s="145" t="str">
        <f t="shared" si="2"/>
        <v>La Spezia - TRF</v>
      </c>
      <c r="B25" s="145" t="s">
        <v>437</v>
      </c>
      <c r="C25" s="152" t="s">
        <v>79</v>
      </c>
      <c r="D25" s="146">
        <v>5.0</v>
      </c>
      <c r="E25" s="146">
        <v>420.0</v>
      </c>
      <c r="F25" s="111">
        <v>30.0</v>
      </c>
      <c r="G25" s="111"/>
      <c r="H25" s="111"/>
      <c r="I25" s="111"/>
      <c r="J25" s="111"/>
      <c r="K25" s="147"/>
    </row>
    <row r="26" ht="15.75" customHeight="1">
      <c r="A26" s="145" t="str">
        <f t="shared" si="2"/>
        <v>Livorno - TRF</v>
      </c>
      <c r="B26" s="145" t="s">
        <v>438</v>
      </c>
      <c r="C26" s="152" t="s">
        <v>79</v>
      </c>
      <c r="D26" s="146">
        <v>4.0</v>
      </c>
      <c r="E26" s="146">
        <v>260.0</v>
      </c>
      <c r="F26" s="111">
        <v>0.0</v>
      </c>
      <c r="G26" s="111"/>
      <c r="H26" s="111"/>
      <c r="I26" s="111"/>
      <c r="J26" s="111"/>
      <c r="K26" s="147"/>
    </row>
    <row r="27" ht="15.75" customHeight="1">
      <c r="A27" s="145" t="str">
        <f t="shared" si="2"/>
        <v>Lucca - TRF</v>
      </c>
      <c r="B27" s="145" t="s">
        <v>439</v>
      </c>
      <c r="C27" s="152" t="s">
        <v>79</v>
      </c>
      <c r="D27" s="146">
        <v>4.0</v>
      </c>
      <c r="E27" s="146">
        <v>280.0</v>
      </c>
      <c r="F27" s="111">
        <v>12.0</v>
      </c>
      <c r="G27" s="111"/>
      <c r="H27" s="111"/>
      <c r="I27" s="111"/>
      <c r="J27" s="111"/>
      <c r="K27" s="147"/>
    </row>
    <row r="28" ht="15.75" customHeight="1">
      <c r="A28" s="145" t="str">
        <f t="shared" si="2"/>
        <v>Milano - TRF</v>
      </c>
      <c r="B28" s="145" t="s">
        <v>440</v>
      </c>
      <c r="C28" s="152" t="s">
        <v>79</v>
      </c>
      <c r="D28" s="146">
        <v>8.0</v>
      </c>
      <c r="E28" s="146">
        <v>740.0</v>
      </c>
      <c r="F28" s="111">
        <v>50.0</v>
      </c>
      <c r="G28" s="111"/>
      <c r="H28" s="111"/>
      <c r="I28" s="111"/>
      <c r="J28" s="111"/>
      <c r="K28" s="147"/>
    </row>
    <row r="29" ht="15.75" customHeight="1">
      <c r="A29" s="145" t="str">
        <f t="shared" si="2"/>
        <v>Montalcino - TRF</v>
      </c>
      <c r="B29" s="145" t="s">
        <v>417</v>
      </c>
      <c r="C29" s="152" t="s">
        <v>79</v>
      </c>
      <c r="D29" s="146">
        <v>2.0</v>
      </c>
      <c r="E29" s="146">
        <v>90.0</v>
      </c>
      <c r="F29" s="111">
        <v>0.0</v>
      </c>
      <c r="G29" s="111"/>
      <c r="H29" s="111"/>
      <c r="I29" s="111"/>
      <c r="J29" s="111"/>
      <c r="K29" s="147"/>
    </row>
    <row r="30" ht="15.75" customHeight="1">
      <c r="A30" s="145" t="str">
        <f t="shared" si="2"/>
        <v>Montecatini - TRF</v>
      </c>
      <c r="B30" s="145" t="s">
        <v>441</v>
      </c>
      <c r="C30" s="152" t="s">
        <v>79</v>
      </c>
      <c r="D30" s="146">
        <v>3.0</v>
      </c>
      <c r="E30" s="146">
        <v>230.0</v>
      </c>
      <c r="F30" s="111">
        <v>10.0</v>
      </c>
      <c r="G30" s="111"/>
      <c r="H30" s="111"/>
      <c r="I30" s="111"/>
      <c r="J30" s="111"/>
      <c r="K30" s="147"/>
    </row>
    <row r="31" ht="15.75" customHeight="1">
      <c r="A31" s="145" t="str">
        <f t="shared" si="2"/>
        <v>Montepulciano - TRF</v>
      </c>
      <c r="B31" s="145" t="s">
        <v>442</v>
      </c>
      <c r="C31" s="152" t="s">
        <v>79</v>
      </c>
      <c r="D31" s="146">
        <v>2.0</v>
      </c>
      <c r="E31" s="146">
        <v>130.0</v>
      </c>
      <c r="F31" s="111">
        <v>0.0</v>
      </c>
      <c r="G31" s="111"/>
      <c r="H31" s="111"/>
      <c r="I31" s="111"/>
      <c r="J31" s="111"/>
      <c r="K31" s="147"/>
    </row>
    <row r="32" ht="15.75" customHeight="1">
      <c r="A32" s="145" t="str">
        <f t="shared" si="2"/>
        <v>Monterosso - TRF</v>
      </c>
      <c r="B32" s="145" t="s">
        <v>443</v>
      </c>
      <c r="C32" s="152" t="s">
        <v>79</v>
      </c>
      <c r="D32" s="153">
        <v>7.0</v>
      </c>
      <c r="E32" s="146">
        <v>500.0</v>
      </c>
      <c r="F32" s="111">
        <v>30.0</v>
      </c>
      <c r="G32" s="111"/>
      <c r="H32" s="111"/>
      <c r="I32" s="111"/>
      <c r="J32" s="111"/>
      <c r="K32" s="147"/>
    </row>
    <row r="33" ht="15.75" customHeight="1">
      <c r="A33" s="145" t="str">
        <f t="shared" si="2"/>
        <v>MXP - TRF</v>
      </c>
      <c r="B33" s="145" t="s">
        <v>444</v>
      </c>
      <c r="C33" s="152" t="s">
        <v>79</v>
      </c>
      <c r="D33" s="146">
        <v>9.0</v>
      </c>
      <c r="E33" s="146">
        <v>830.0</v>
      </c>
      <c r="F33" s="111">
        <v>60.0</v>
      </c>
      <c r="G33" s="111"/>
      <c r="H33" s="111"/>
      <c r="I33" s="111"/>
      <c r="J33" s="111"/>
      <c r="K33" s="147"/>
    </row>
    <row r="34" ht="15.75" customHeight="1">
      <c r="A34" s="145" t="str">
        <f t="shared" si="2"/>
        <v>Napoli - TRF</v>
      </c>
      <c r="B34" s="145" t="s">
        <v>445</v>
      </c>
      <c r="C34" s="152" t="s">
        <v>79</v>
      </c>
      <c r="D34" s="146">
        <v>9.0</v>
      </c>
      <c r="E34" s="146">
        <v>860.0</v>
      </c>
      <c r="F34" s="111">
        <v>60.0</v>
      </c>
      <c r="G34" s="111"/>
      <c r="H34" s="111"/>
      <c r="I34" s="111"/>
      <c r="J34" s="111"/>
      <c r="K34" s="147"/>
    </row>
    <row r="35" ht="15.75" customHeight="1">
      <c r="A35" s="145" t="str">
        <f t="shared" si="2"/>
        <v>Orvieto - TRF</v>
      </c>
      <c r="B35" s="145" t="s">
        <v>446</v>
      </c>
      <c r="C35" s="152" t="s">
        <v>79</v>
      </c>
      <c r="D35" s="153">
        <v>4.0</v>
      </c>
      <c r="E35" s="146">
        <v>250.0</v>
      </c>
      <c r="F35" s="111">
        <v>10.0</v>
      </c>
      <c r="G35" s="111"/>
      <c r="H35" s="111"/>
      <c r="I35" s="111"/>
      <c r="J35" s="111"/>
      <c r="K35" s="147"/>
    </row>
    <row r="36" ht="15.75" customHeight="1">
      <c r="A36" s="145" t="str">
        <f t="shared" si="2"/>
        <v>Perugia - TRF</v>
      </c>
      <c r="B36" s="145" t="s">
        <v>447</v>
      </c>
      <c r="C36" s="152" t="s">
        <v>79</v>
      </c>
      <c r="D36" s="146">
        <v>4.0</v>
      </c>
      <c r="E36" s="146">
        <v>250.0</v>
      </c>
      <c r="F36" s="111">
        <v>0.0</v>
      </c>
      <c r="G36" s="111"/>
      <c r="H36" s="111"/>
      <c r="I36" s="111"/>
      <c r="J36" s="111"/>
      <c r="K36" s="147"/>
    </row>
    <row r="37" ht="15.75" customHeight="1">
      <c r="A37" s="145" t="str">
        <f t="shared" si="2"/>
        <v>Pisa - TRF</v>
      </c>
      <c r="B37" s="145" t="s">
        <v>448</v>
      </c>
      <c r="C37" s="152" t="s">
        <v>79</v>
      </c>
      <c r="D37" s="146">
        <v>4.0</v>
      </c>
      <c r="E37" s="146">
        <v>250.0</v>
      </c>
      <c r="F37" s="111">
        <v>0.0</v>
      </c>
      <c r="G37" s="111"/>
      <c r="H37" s="111"/>
      <c r="I37" s="111"/>
      <c r="J37" s="111"/>
      <c r="K37" s="147"/>
    </row>
    <row r="38" ht="15.75" customHeight="1">
      <c r="A38" s="145" t="str">
        <f t="shared" si="2"/>
        <v>Porto Ercole - TRF</v>
      </c>
      <c r="B38" s="145" t="s">
        <v>449</v>
      </c>
      <c r="C38" s="152" t="s">
        <v>79</v>
      </c>
      <c r="D38" s="146">
        <v>2.0</v>
      </c>
      <c r="E38" s="146">
        <v>250.0</v>
      </c>
      <c r="F38" s="111">
        <v>0.0</v>
      </c>
      <c r="G38" s="111"/>
      <c r="H38" s="111"/>
      <c r="I38" s="111"/>
      <c r="J38" s="111"/>
      <c r="K38" s="147"/>
    </row>
    <row r="39" ht="15.75" customHeight="1">
      <c r="A39" s="145" t="str">
        <f t="shared" si="2"/>
        <v>Roma - TRF</v>
      </c>
      <c r="B39" s="145" t="s">
        <v>450</v>
      </c>
      <c r="C39" s="152" t="s">
        <v>79</v>
      </c>
      <c r="D39" s="146">
        <v>6.0</v>
      </c>
      <c r="E39" s="146">
        <v>500.0</v>
      </c>
      <c r="F39" s="111">
        <v>27.0</v>
      </c>
      <c r="G39" s="111"/>
      <c r="H39" s="111"/>
      <c r="I39" s="111"/>
      <c r="J39" s="111"/>
      <c r="K39" s="147"/>
    </row>
    <row r="40" ht="15.75" customHeight="1">
      <c r="A40" s="145" t="str">
        <f t="shared" si="2"/>
        <v>San Gimignano - TRF</v>
      </c>
      <c r="B40" s="145" t="s">
        <v>451</v>
      </c>
      <c r="C40" s="152" t="s">
        <v>79</v>
      </c>
      <c r="D40" s="146">
        <v>2.0</v>
      </c>
      <c r="E40" s="146">
        <v>80.0</v>
      </c>
      <c r="F40" s="111">
        <v>0.0</v>
      </c>
      <c r="G40" s="111"/>
      <c r="H40" s="111"/>
      <c r="I40" s="111"/>
      <c r="J40" s="111"/>
      <c r="K40" s="147"/>
    </row>
    <row r="41" ht="15.75" customHeight="1">
      <c r="A41" s="145" t="str">
        <f t="shared" si="2"/>
        <v>Sirmione - TRF</v>
      </c>
      <c r="B41" s="145" t="s">
        <v>452</v>
      </c>
      <c r="C41" s="152" t="s">
        <v>79</v>
      </c>
      <c r="D41" s="146">
        <v>8.0</v>
      </c>
      <c r="E41" s="146">
        <v>620.0</v>
      </c>
      <c r="F41" s="111">
        <v>40.0</v>
      </c>
      <c r="G41" s="111"/>
      <c r="H41" s="111"/>
      <c r="I41" s="111"/>
      <c r="J41" s="111"/>
      <c r="K41" s="147"/>
    </row>
    <row r="42" ht="15.75" customHeight="1">
      <c r="A42" s="145" t="str">
        <f t="shared" si="2"/>
        <v>Sorrento - TRF</v>
      </c>
      <c r="B42" s="145" t="s">
        <v>453</v>
      </c>
      <c r="C42" s="152" t="s">
        <v>79</v>
      </c>
      <c r="D42" s="146">
        <v>10.0</v>
      </c>
      <c r="E42" s="146">
        <v>940.0</v>
      </c>
      <c r="F42" s="111">
        <v>65.0</v>
      </c>
      <c r="G42" s="111"/>
      <c r="H42" s="111"/>
      <c r="I42" s="111"/>
      <c r="J42" s="111"/>
      <c r="K42" s="147"/>
    </row>
    <row r="43" ht="15.75" customHeight="1">
      <c r="A43" s="148" t="str">
        <f t="shared" si="2"/>
        <v>Venezia - TRF</v>
      </c>
      <c r="B43" s="148" t="s">
        <v>454</v>
      </c>
      <c r="C43" s="154" t="s">
        <v>79</v>
      </c>
      <c r="D43" s="149">
        <v>8.0</v>
      </c>
      <c r="E43" s="149">
        <v>640.0</v>
      </c>
      <c r="F43" s="150">
        <v>45.0</v>
      </c>
      <c r="G43" s="150"/>
      <c r="H43" s="150"/>
      <c r="I43" s="150"/>
      <c r="J43" s="150"/>
      <c r="K43" s="151"/>
    </row>
    <row r="44" ht="15.75" customHeight="1">
      <c r="A44" s="155"/>
      <c r="B44" s="155"/>
      <c r="C44" s="145"/>
      <c r="D44" s="146"/>
      <c r="E44" s="146"/>
      <c r="F44" s="91"/>
      <c r="G44" s="91"/>
      <c r="H44" s="91"/>
      <c r="I44" s="91"/>
      <c r="J44" s="91"/>
      <c r="K44" s="91"/>
    </row>
    <row r="45" ht="15.75" customHeight="1">
      <c r="A45" s="155"/>
      <c r="B45" s="155"/>
      <c r="C45" s="145"/>
      <c r="D45" s="146"/>
      <c r="E45" s="146"/>
      <c r="F45" s="91"/>
      <c r="G45" s="91"/>
      <c r="H45" s="91"/>
      <c r="I45" s="91"/>
      <c r="J45" s="91"/>
      <c r="K45" s="91"/>
    </row>
    <row r="46" ht="15.75" customHeight="1">
      <c r="A46" s="155"/>
      <c r="B46" s="155"/>
      <c r="C46" s="145"/>
      <c r="D46" s="146"/>
      <c r="E46" s="146"/>
      <c r="F46" s="91"/>
      <c r="G46" s="91"/>
      <c r="H46" s="91"/>
      <c r="I46" s="91"/>
      <c r="J46" s="91"/>
      <c r="K46" s="91"/>
    </row>
    <row r="47" ht="15.75" customHeight="1">
      <c r="A47" s="155"/>
      <c r="B47" s="155"/>
      <c r="C47" s="145"/>
      <c r="D47" s="146"/>
      <c r="E47" s="146"/>
      <c r="F47" s="91"/>
      <c r="G47" s="91"/>
      <c r="H47" s="91"/>
      <c r="I47" s="91"/>
      <c r="J47" s="91"/>
      <c r="K47" s="91"/>
    </row>
    <row r="48" ht="15.75" customHeight="1">
      <c r="A48" s="155"/>
      <c r="B48" s="155"/>
      <c r="C48" s="145"/>
      <c r="D48" s="146"/>
      <c r="E48" s="146"/>
      <c r="F48" s="91"/>
      <c r="G48" s="91"/>
      <c r="H48" s="91"/>
      <c r="I48" s="91"/>
      <c r="J48" s="91"/>
      <c r="K48" s="91"/>
    </row>
    <row r="49" ht="15.75" customHeight="1">
      <c r="A49" s="155"/>
      <c r="B49" s="155"/>
      <c r="C49" s="145"/>
      <c r="D49" s="146"/>
      <c r="E49" s="146"/>
      <c r="F49" s="91"/>
      <c r="G49" s="91"/>
      <c r="H49" s="91"/>
      <c r="I49" s="91"/>
      <c r="J49" s="91"/>
      <c r="K49" s="91"/>
    </row>
    <row r="50" ht="15.75" customHeight="1">
      <c r="A50" s="155"/>
      <c r="B50" s="155"/>
      <c r="C50" s="145"/>
      <c r="D50" s="146"/>
      <c r="E50" s="146"/>
      <c r="F50" s="91"/>
      <c r="G50" s="91"/>
      <c r="H50" s="91"/>
      <c r="I50" s="91"/>
      <c r="J50" s="91"/>
      <c r="K50" s="91"/>
    </row>
    <row r="51" ht="15.75" customHeight="1">
      <c r="A51" s="155"/>
      <c r="B51" s="155"/>
      <c r="C51" s="145"/>
      <c r="D51" s="146"/>
      <c r="E51" s="146"/>
      <c r="F51" s="91"/>
      <c r="G51" s="91"/>
      <c r="H51" s="91"/>
      <c r="I51" s="91"/>
      <c r="J51" s="91"/>
      <c r="K51" s="91"/>
    </row>
    <row r="52" ht="15.75" customHeight="1">
      <c r="A52" s="155"/>
      <c r="B52" s="155"/>
      <c r="C52" s="145"/>
      <c r="D52" s="146"/>
      <c r="E52" s="146"/>
      <c r="F52" s="91"/>
      <c r="G52" s="91"/>
      <c r="H52" s="91"/>
      <c r="I52" s="91"/>
      <c r="J52" s="91"/>
      <c r="K52" s="91"/>
    </row>
    <row r="53" ht="15.75" customHeight="1">
      <c r="A53" s="155"/>
      <c r="B53" s="155"/>
      <c r="C53" s="145"/>
      <c r="D53" s="146"/>
      <c r="E53" s="146"/>
      <c r="F53" s="91"/>
      <c r="G53" s="91"/>
      <c r="H53" s="91"/>
      <c r="I53" s="91"/>
      <c r="J53" s="91"/>
      <c r="K53" s="91"/>
    </row>
    <row r="54" ht="15.75" customHeight="1">
      <c r="A54" s="155"/>
      <c r="B54" s="155"/>
      <c r="C54" s="145"/>
      <c r="D54" s="146"/>
      <c r="E54" s="146"/>
      <c r="F54" s="91"/>
      <c r="G54" s="91"/>
      <c r="H54" s="91"/>
      <c r="I54" s="91"/>
      <c r="J54" s="91"/>
      <c r="K54" s="91"/>
    </row>
    <row r="55" ht="15.75" customHeight="1">
      <c r="A55" s="155"/>
      <c r="B55" s="155"/>
      <c r="C55" s="145"/>
      <c r="D55" s="146"/>
      <c r="E55" s="146"/>
      <c r="F55" s="91"/>
      <c r="G55" s="91"/>
      <c r="H55" s="91"/>
      <c r="I55" s="91"/>
      <c r="J55" s="91"/>
      <c r="K55" s="91"/>
    </row>
    <row r="56" ht="15.75" customHeight="1">
      <c r="A56" s="155"/>
      <c r="B56" s="155"/>
      <c r="C56" s="145"/>
      <c r="D56" s="146"/>
      <c r="E56" s="146"/>
      <c r="F56" s="91"/>
      <c r="G56" s="91"/>
      <c r="H56" s="91"/>
      <c r="I56" s="91"/>
      <c r="J56" s="91"/>
      <c r="K56" s="91"/>
    </row>
    <row r="57" ht="15.75" customHeight="1">
      <c r="A57" s="155"/>
      <c r="B57" s="155"/>
      <c r="C57" s="145"/>
      <c r="D57" s="146"/>
      <c r="E57" s="146"/>
      <c r="F57" s="91"/>
      <c r="G57" s="91"/>
      <c r="H57" s="91"/>
      <c r="I57" s="91"/>
      <c r="J57" s="91"/>
      <c r="K57" s="91"/>
    </row>
    <row r="58" ht="15.75" customHeight="1">
      <c r="A58" s="155"/>
      <c r="B58" s="155"/>
      <c r="C58" s="145"/>
      <c r="D58" s="146"/>
      <c r="E58" s="146"/>
      <c r="F58" s="91"/>
      <c r="G58" s="91"/>
      <c r="H58" s="91"/>
      <c r="I58" s="91"/>
      <c r="J58" s="91"/>
      <c r="K58" s="91"/>
    </row>
    <row r="59" ht="15.75" customHeight="1">
      <c r="A59" s="155"/>
      <c r="B59" s="155"/>
      <c r="C59" s="145"/>
      <c r="D59" s="146"/>
      <c r="E59" s="146"/>
      <c r="F59" s="91"/>
      <c r="G59" s="91"/>
      <c r="H59" s="91"/>
      <c r="I59" s="91"/>
      <c r="J59" s="91"/>
      <c r="K59" s="91"/>
    </row>
    <row r="60" ht="15.75" customHeight="1">
      <c r="A60" s="155"/>
      <c r="B60" s="155"/>
      <c r="C60" s="145"/>
      <c r="D60" s="146"/>
      <c r="E60" s="146"/>
      <c r="F60" s="91"/>
      <c r="G60" s="91"/>
      <c r="H60" s="91"/>
      <c r="I60" s="91"/>
      <c r="J60" s="91"/>
      <c r="K60" s="91"/>
    </row>
    <row r="61" ht="15.75" customHeight="1">
      <c r="A61" s="155"/>
      <c r="B61" s="155"/>
      <c r="C61" s="145"/>
      <c r="D61" s="146"/>
      <c r="E61" s="146"/>
      <c r="F61" s="91"/>
      <c r="G61" s="91"/>
      <c r="H61" s="91"/>
      <c r="I61" s="91"/>
      <c r="J61" s="91"/>
      <c r="K61" s="91"/>
    </row>
    <row r="62" ht="15.75" customHeight="1">
      <c r="A62" s="155"/>
      <c r="B62" s="155"/>
      <c r="C62" s="145"/>
      <c r="D62" s="146"/>
      <c r="E62" s="146"/>
      <c r="F62" s="91"/>
      <c r="G62" s="91"/>
      <c r="H62" s="91"/>
      <c r="I62" s="91"/>
      <c r="J62" s="91"/>
      <c r="K62" s="91"/>
    </row>
    <row r="63" ht="15.75" customHeight="1">
      <c r="A63" s="155"/>
      <c r="B63" s="155"/>
      <c r="C63" s="145"/>
      <c r="D63" s="146"/>
      <c r="E63" s="146"/>
      <c r="F63" s="91"/>
      <c r="G63" s="91"/>
      <c r="H63" s="91"/>
      <c r="I63" s="91"/>
      <c r="J63" s="91"/>
      <c r="K63" s="91"/>
    </row>
    <row r="64" ht="15.75" customHeight="1">
      <c r="A64" s="155"/>
      <c r="B64" s="155"/>
      <c r="C64" s="145"/>
      <c r="D64" s="146"/>
      <c r="E64" s="146"/>
      <c r="F64" s="91"/>
      <c r="G64" s="91"/>
      <c r="H64" s="91"/>
      <c r="I64" s="91"/>
      <c r="J64" s="91"/>
      <c r="K64" s="91"/>
    </row>
    <row r="65" ht="15.75" customHeight="1">
      <c r="A65" s="155"/>
      <c r="B65" s="155"/>
      <c r="C65" s="145"/>
      <c r="D65" s="146"/>
      <c r="E65" s="146"/>
      <c r="F65" s="91"/>
      <c r="G65" s="91"/>
      <c r="H65" s="91"/>
      <c r="I65" s="91"/>
      <c r="J65" s="91"/>
      <c r="K65" s="91"/>
    </row>
    <row r="66" ht="15.75" customHeight="1">
      <c r="A66" s="155"/>
      <c r="B66" s="155"/>
      <c r="C66" s="145"/>
      <c r="D66" s="146"/>
      <c r="E66" s="146"/>
      <c r="F66" s="91"/>
      <c r="G66" s="91"/>
      <c r="H66" s="91"/>
      <c r="I66" s="91"/>
      <c r="J66" s="91"/>
      <c r="K66" s="91"/>
    </row>
    <row r="67" ht="15.75" customHeight="1">
      <c r="A67" s="155"/>
      <c r="B67" s="155"/>
      <c r="C67" s="145"/>
      <c r="D67" s="146"/>
      <c r="E67" s="146"/>
      <c r="F67" s="91"/>
      <c r="G67" s="91"/>
      <c r="H67" s="91"/>
      <c r="I67" s="91"/>
      <c r="J67" s="91"/>
      <c r="K67" s="91"/>
    </row>
    <row r="68" ht="15.75" customHeight="1">
      <c r="A68" s="155"/>
      <c r="B68" s="155"/>
      <c r="C68" s="145"/>
      <c r="D68" s="146"/>
      <c r="E68" s="146"/>
      <c r="F68" s="91"/>
      <c r="G68" s="91"/>
      <c r="H68" s="91"/>
      <c r="I68" s="91"/>
      <c r="J68" s="91"/>
      <c r="K68" s="91"/>
    </row>
    <row r="69" ht="15.75" customHeight="1">
      <c r="A69" s="156"/>
      <c r="B69" s="156"/>
      <c r="C69" s="157"/>
      <c r="D69" s="3"/>
      <c r="E69" s="3"/>
    </row>
    <row r="70" ht="15.75" customHeight="1">
      <c r="A70" s="156"/>
      <c r="B70" s="156"/>
      <c r="C70" s="157"/>
      <c r="D70" s="3"/>
      <c r="E70" s="3"/>
    </row>
    <row r="71" ht="15.75" customHeight="1">
      <c r="A71" s="156"/>
      <c r="B71" s="156"/>
      <c r="C71" s="157"/>
      <c r="D71" s="3"/>
      <c r="E71" s="3"/>
    </row>
    <row r="72" ht="15.75" customHeight="1">
      <c r="A72" s="156"/>
      <c r="B72" s="156"/>
      <c r="C72" s="157"/>
      <c r="D72" s="3"/>
      <c r="E72" s="3"/>
    </row>
    <row r="73" ht="15.75" customHeight="1">
      <c r="A73" s="156"/>
      <c r="B73" s="156"/>
      <c r="C73" s="157"/>
      <c r="D73" s="3"/>
      <c r="E73" s="3"/>
    </row>
    <row r="74" ht="15.75" customHeight="1">
      <c r="A74" s="156"/>
      <c r="B74" s="156"/>
      <c r="C74" s="157"/>
      <c r="D74" s="3"/>
      <c r="E74" s="3"/>
    </row>
    <row r="75" ht="15.75" customHeight="1">
      <c r="A75" s="156"/>
      <c r="B75" s="156"/>
      <c r="C75" s="157"/>
      <c r="D75" s="3"/>
      <c r="E75" s="3"/>
    </row>
    <row r="76" ht="15.75" customHeight="1">
      <c r="A76" s="156"/>
      <c r="B76" s="156"/>
      <c r="C76" s="157"/>
      <c r="D76" s="3"/>
      <c r="E76" s="3"/>
    </row>
    <row r="77" ht="15.75" customHeight="1">
      <c r="A77" s="156"/>
      <c r="B77" s="156"/>
      <c r="C77" s="157"/>
      <c r="D77" s="3"/>
      <c r="E77" s="3"/>
    </row>
    <row r="78" ht="15.75" customHeight="1">
      <c r="A78" s="156"/>
      <c r="B78" s="156"/>
      <c r="C78" s="157"/>
      <c r="D78" s="3"/>
      <c r="E78" s="3"/>
    </row>
    <row r="79" ht="15.75" customHeight="1">
      <c r="A79" s="156"/>
      <c r="B79" s="156"/>
      <c r="C79" s="157"/>
      <c r="D79" s="3"/>
      <c r="E79" s="3"/>
    </row>
    <row r="80" ht="15.75" customHeight="1">
      <c r="A80" s="156"/>
      <c r="B80" s="156"/>
      <c r="C80" s="157"/>
      <c r="D80" s="3"/>
      <c r="E80" s="3"/>
    </row>
    <row r="81" ht="15.75" customHeight="1">
      <c r="A81" s="156"/>
      <c r="B81" s="156"/>
      <c r="C81" s="157"/>
      <c r="D81" s="3"/>
      <c r="E81" s="3"/>
    </row>
    <row r="82" ht="15.75" customHeight="1">
      <c r="A82" s="156"/>
      <c r="B82" s="156"/>
      <c r="C82" s="157"/>
      <c r="D82" s="3"/>
      <c r="E82" s="3"/>
    </row>
    <row r="83" ht="15.75" customHeight="1">
      <c r="A83" s="156"/>
      <c r="B83" s="156"/>
      <c r="C83" s="157"/>
      <c r="D83" s="3"/>
      <c r="E83" s="3"/>
    </row>
    <row r="84" ht="15.75" customHeight="1">
      <c r="A84" s="156"/>
      <c r="B84" s="156"/>
      <c r="C84" s="157"/>
      <c r="D84" s="3"/>
      <c r="E84" s="3"/>
    </row>
    <row r="85" ht="15.75" customHeight="1">
      <c r="A85" s="156"/>
      <c r="B85" s="156"/>
      <c r="C85" s="157"/>
      <c r="D85" s="3"/>
      <c r="E85" s="3"/>
    </row>
    <row r="86" ht="15.75" customHeight="1">
      <c r="A86" s="156"/>
      <c r="B86" s="156"/>
      <c r="C86" s="157"/>
      <c r="D86" s="3"/>
      <c r="E86" s="3"/>
    </row>
    <row r="87" ht="15.75" customHeight="1">
      <c r="A87" s="156"/>
      <c r="B87" s="156"/>
      <c r="C87" s="157"/>
      <c r="D87" s="3"/>
      <c r="E87" s="3"/>
    </row>
    <row r="88" ht="15.75" customHeight="1">
      <c r="A88" s="156"/>
      <c r="B88" s="156"/>
      <c r="C88" s="157"/>
      <c r="D88" s="3"/>
      <c r="E88" s="3"/>
    </row>
    <row r="89" ht="15.75" customHeight="1">
      <c r="A89" s="156"/>
      <c r="B89" s="156"/>
      <c r="C89" s="157"/>
      <c r="D89" s="3"/>
      <c r="E89" s="3"/>
    </row>
    <row r="90" ht="15.75" customHeight="1">
      <c r="A90" s="156"/>
      <c r="B90" s="156"/>
      <c r="C90" s="157"/>
      <c r="D90" s="3"/>
      <c r="E90" s="3"/>
    </row>
    <row r="91" ht="15.75" customHeight="1">
      <c r="A91" s="156"/>
      <c r="B91" s="156"/>
      <c r="C91" s="157"/>
      <c r="D91" s="3"/>
      <c r="E91" s="3"/>
    </row>
    <row r="92" ht="15.75" customHeight="1">
      <c r="A92" s="156"/>
      <c r="B92" s="156"/>
      <c r="C92" s="157"/>
      <c r="D92" s="3"/>
      <c r="E92" s="3"/>
    </row>
    <row r="93" ht="15.75" customHeight="1">
      <c r="A93" s="156"/>
      <c r="B93" s="156"/>
      <c r="C93" s="157"/>
      <c r="D93" s="3"/>
      <c r="E93" s="3"/>
    </row>
    <row r="94" ht="15.75" customHeight="1">
      <c r="A94" s="156"/>
      <c r="B94" s="156"/>
      <c r="C94" s="157"/>
      <c r="D94" s="3"/>
      <c r="E94" s="3"/>
    </row>
    <row r="95" ht="15.75" customHeight="1">
      <c r="A95" s="156"/>
      <c r="B95" s="156"/>
      <c r="C95" s="157"/>
      <c r="D95" s="3"/>
      <c r="E95" s="3"/>
    </row>
    <row r="96" ht="15.75" customHeight="1">
      <c r="A96" s="156"/>
      <c r="B96" s="156"/>
      <c r="C96" s="157"/>
      <c r="D96" s="3"/>
      <c r="E96" s="3"/>
    </row>
    <row r="97" ht="15.75" customHeight="1">
      <c r="A97" s="156"/>
      <c r="B97" s="156"/>
      <c r="C97" s="157"/>
      <c r="D97" s="3"/>
      <c r="E97" s="3"/>
    </row>
    <row r="98" ht="15.75" customHeight="1">
      <c r="A98" s="156"/>
      <c r="B98" s="156"/>
      <c r="C98" s="157"/>
      <c r="D98" s="3"/>
      <c r="E98" s="3"/>
    </row>
    <row r="99" ht="15.75" customHeight="1">
      <c r="A99" s="156"/>
      <c r="B99" s="156"/>
      <c r="C99" s="157"/>
      <c r="D99" s="3"/>
      <c r="E99" s="3"/>
    </row>
    <row r="100" ht="15.75" customHeight="1">
      <c r="A100" s="156"/>
      <c r="B100" s="156"/>
      <c r="C100" s="157"/>
      <c r="D100" s="3"/>
      <c r="E100" s="3"/>
    </row>
    <row r="101" ht="15.75" customHeight="1">
      <c r="A101" s="156"/>
      <c r="B101" s="156"/>
      <c r="C101" s="157"/>
      <c r="D101" s="3"/>
      <c r="E101" s="3"/>
    </row>
    <row r="102" ht="15.75" customHeight="1">
      <c r="A102" s="156"/>
      <c r="B102" s="156"/>
      <c r="C102" s="157"/>
      <c r="D102" s="3"/>
      <c r="E102" s="3"/>
    </row>
    <row r="103" ht="15.75" customHeight="1">
      <c r="A103" s="156"/>
      <c r="B103" s="156"/>
      <c r="C103" s="157"/>
      <c r="D103" s="3"/>
      <c r="E103" s="3"/>
    </row>
    <row r="104" ht="15.75" customHeight="1">
      <c r="A104" s="156"/>
      <c r="B104" s="156"/>
      <c r="C104" s="157"/>
      <c r="D104" s="3"/>
      <c r="E104" s="3"/>
    </row>
    <row r="105" ht="15.75" customHeight="1">
      <c r="A105" s="156"/>
      <c r="B105" s="156"/>
      <c r="C105" s="157"/>
      <c r="D105" s="3"/>
      <c r="E105" s="3"/>
    </row>
    <row r="106" ht="15.75" customHeight="1">
      <c r="A106" s="156"/>
      <c r="B106" s="156"/>
      <c r="C106" s="157"/>
      <c r="D106" s="3"/>
      <c r="E106" s="3"/>
    </row>
    <row r="107" ht="15.75" customHeight="1">
      <c r="A107" s="156"/>
      <c r="B107" s="156"/>
      <c r="C107" s="157"/>
      <c r="D107" s="3"/>
      <c r="E107" s="3"/>
    </row>
    <row r="108" ht="15.75" customHeight="1">
      <c r="A108" s="156"/>
      <c r="B108" s="156"/>
      <c r="C108" s="157"/>
      <c r="D108" s="3"/>
      <c r="E108" s="3"/>
    </row>
    <row r="109" ht="15.75" customHeight="1">
      <c r="A109" s="156"/>
      <c r="B109" s="156"/>
      <c r="C109" s="157"/>
      <c r="D109" s="3"/>
      <c r="E109" s="3"/>
    </row>
    <row r="110" ht="15.75" customHeight="1">
      <c r="A110" s="156"/>
      <c r="B110" s="156"/>
      <c r="C110" s="157"/>
      <c r="D110" s="3"/>
      <c r="E110" s="3"/>
    </row>
    <row r="111" ht="15.75" customHeight="1">
      <c r="A111" s="156"/>
      <c r="B111" s="156"/>
      <c r="C111" s="157"/>
      <c r="D111" s="3"/>
      <c r="E111" s="3"/>
    </row>
    <row r="112" ht="15.75" customHeight="1">
      <c r="A112" s="156"/>
      <c r="B112" s="156"/>
      <c r="C112" s="157"/>
      <c r="D112" s="3"/>
      <c r="E112" s="3"/>
    </row>
    <row r="113" ht="15.75" customHeight="1">
      <c r="A113" s="156"/>
      <c r="B113" s="156"/>
      <c r="C113" s="157"/>
      <c r="D113" s="3"/>
      <c r="E113" s="3"/>
    </row>
    <row r="114" ht="15.75" customHeight="1">
      <c r="A114" s="156"/>
      <c r="B114" s="156"/>
      <c r="C114" s="157"/>
      <c r="D114" s="3"/>
      <c r="E114" s="3"/>
    </row>
    <row r="115" ht="15.75" customHeight="1">
      <c r="A115" s="156"/>
      <c r="B115" s="156"/>
      <c r="C115" s="157"/>
      <c r="D115" s="3"/>
      <c r="E115" s="3"/>
    </row>
    <row r="116" ht="15.75" customHeight="1">
      <c r="A116" s="156"/>
      <c r="B116" s="156"/>
      <c r="C116" s="157"/>
      <c r="D116" s="3"/>
      <c r="E116" s="3"/>
    </row>
    <row r="117" ht="15.75" customHeight="1">
      <c r="A117" s="156"/>
      <c r="B117" s="156"/>
      <c r="C117" s="157"/>
      <c r="D117" s="3"/>
      <c r="E117" s="3"/>
    </row>
    <row r="118" ht="15.75" customHeight="1">
      <c r="A118" s="156"/>
      <c r="B118" s="156"/>
      <c r="C118" s="157"/>
      <c r="D118" s="3"/>
      <c r="E118" s="3"/>
    </row>
    <row r="119" ht="15.75" customHeight="1">
      <c r="A119" s="156"/>
      <c r="B119" s="156"/>
      <c r="C119" s="157"/>
      <c r="D119" s="3"/>
      <c r="E119" s="3"/>
    </row>
    <row r="120" ht="15.75" customHeight="1">
      <c r="A120" s="156"/>
      <c r="B120" s="156"/>
      <c r="C120" s="157"/>
      <c r="D120" s="3"/>
      <c r="E120" s="3"/>
    </row>
    <row r="121" ht="15.75" customHeight="1">
      <c r="A121" s="156"/>
      <c r="B121" s="156"/>
      <c r="C121" s="157"/>
      <c r="D121" s="3"/>
      <c r="E121" s="3"/>
    </row>
    <row r="122" ht="15.75" customHeight="1">
      <c r="A122" s="156"/>
      <c r="B122" s="156"/>
      <c r="C122" s="157"/>
      <c r="D122" s="3"/>
      <c r="E122" s="3"/>
    </row>
    <row r="123" ht="15.75" customHeight="1">
      <c r="A123" s="156"/>
      <c r="B123" s="156"/>
      <c r="C123" s="157"/>
      <c r="D123" s="3"/>
      <c r="E123" s="3"/>
    </row>
    <row r="124" ht="15.75" customHeight="1">
      <c r="A124" s="156"/>
      <c r="B124" s="156"/>
      <c r="C124" s="157"/>
      <c r="D124" s="3"/>
      <c r="E124" s="3"/>
    </row>
    <row r="125" ht="15.75" customHeight="1">
      <c r="A125" s="156"/>
      <c r="B125" s="156"/>
      <c r="C125" s="157"/>
      <c r="D125" s="3"/>
      <c r="E125" s="3"/>
    </row>
    <row r="126" ht="15.75" customHeight="1">
      <c r="A126" s="156"/>
      <c r="B126" s="156"/>
      <c r="C126" s="157"/>
      <c r="D126" s="3"/>
      <c r="E126" s="3"/>
    </row>
    <row r="127" ht="15.75" customHeight="1">
      <c r="A127" s="156"/>
      <c r="B127" s="156"/>
      <c r="C127" s="157"/>
      <c r="D127" s="3"/>
      <c r="E127" s="3"/>
    </row>
    <row r="128" ht="15.75" customHeight="1">
      <c r="A128" s="156"/>
      <c r="B128" s="156"/>
      <c r="C128" s="157"/>
      <c r="D128" s="3"/>
      <c r="E128" s="3"/>
    </row>
    <row r="129" ht="15.75" customHeight="1">
      <c r="A129" s="156"/>
      <c r="B129" s="156"/>
      <c r="C129" s="157"/>
      <c r="D129" s="3"/>
      <c r="E129" s="3"/>
    </row>
    <row r="130" ht="15.75" customHeight="1">
      <c r="A130" s="156"/>
      <c r="B130" s="156"/>
      <c r="C130" s="157"/>
      <c r="D130" s="3"/>
      <c r="E130" s="3"/>
    </row>
    <row r="131" ht="15.75" customHeight="1">
      <c r="A131" s="156"/>
      <c r="B131" s="156"/>
      <c r="C131" s="157"/>
      <c r="D131" s="3"/>
      <c r="E131" s="3"/>
    </row>
    <row r="132" ht="15.75" customHeight="1">
      <c r="A132" s="156"/>
      <c r="B132" s="156"/>
      <c r="C132" s="157"/>
      <c r="D132" s="3"/>
      <c r="E132" s="3"/>
    </row>
    <row r="133" ht="15.75" customHeight="1">
      <c r="A133" s="156"/>
      <c r="B133" s="156"/>
      <c r="C133" s="157"/>
      <c r="D133" s="3"/>
      <c r="E133" s="3"/>
    </row>
    <row r="134" ht="15.75" customHeight="1">
      <c r="A134" s="156"/>
      <c r="B134" s="156"/>
      <c r="C134" s="157"/>
      <c r="D134" s="3"/>
      <c r="E134" s="3"/>
    </row>
    <row r="135" ht="15.75" customHeight="1">
      <c r="A135" s="156"/>
      <c r="B135" s="156"/>
      <c r="C135" s="157"/>
      <c r="D135" s="3"/>
      <c r="E135" s="3"/>
    </row>
    <row r="136" ht="15.75" customHeight="1">
      <c r="A136" s="156"/>
      <c r="B136" s="156"/>
      <c r="C136" s="157"/>
      <c r="D136" s="3"/>
      <c r="E136" s="3"/>
    </row>
    <row r="137" ht="15.75" customHeight="1">
      <c r="A137" s="156"/>
      <c r="B137" s="156"/>
      <c r="C137" s="157"/>
      <c r="D137" s="3"/>
      <c r="E137" s="3"/>
    </row>
    <row r="138" ht="15.75" customHeight="1">
      <c r="A138" s="156"/>
      <c r="B138" s="156"/>
      <c r="C138" s="157"/>
      <c r="D138" s="3"/>
      <c r="E138" s="3"/>
    </row>
    <row r="139" ht="15.75" customHeight="1">
      <c r="A139" s="156"/>
      <c r="B139" s="156"/>
      <c r="C139" s="157"/>
      <c r="D139" s="3"/>
      <c r="E139" s="3"/>
    </row>
    <row r="140" ht="15.75" customHeight="1">
      <c r="A140" s="156"/>
      <c r="B140" s="156"/>
      <c r="C140" s="157"/>
      <c r="D140" s="3"/>
      <c r="E140" s="3"/>
    </row>
    <row r="141" ht="15.75" customHeight="1">
      <c r="A141" s="156"/>
      <c r="B141" s="156"/>
      <c r="C141" s="157"/>
      <c r="D141" s="3"/>
      <c r="E141" s="3"/>
    </row>
    <row r="142" ht="15.75" customHeight="1">
      <c r="A142" s="156"/>
      <c r="B142" s="156"/>
      <c r="C142" s="157"/>
      <c r="D142" s="3"/>
      <c r="E142" s="3"/>
    </row>
    <row r="143" ht="15.75" customHeight="1">
      <c r="A143" s="156"/>
      <c r="B143" s="156"/>
      <c r="C143" s="157"/>
      <c r="D143" s="3"/>
      <c r="E143" s="3"/>
    </row>
    <row r="144" ht="15.75" customHeight="1">
      <c r="A144" s="156"/>
      <c r="B144" s="156"/>
      <c r="C144" s="157"/>
      <c r="D144" s="3"/>
      <c r="E144" s="3"/>
    </row>
    <row r="145" ht="15.75" customHeight="1">
      <c r="A145" s="156"/>
      <c r="B145" s="156"/>
      <c r="C145" s="157"/>
      <c r="D145" s="3"/>
      <c r="E145" s="3"/>
    </row>
    <row r="146" ht="15.75" customHeight="1">
      <c r="A146" s="156"/>
      <c r="B146" s="156"/>
      <c r="C146" s="157"/>
      <c r="D146" s="3"/>
      <c r="E146" s="3"/>
    </row>
    <row r="147" ht="15.75" customHeight="1">
      <c r="A147" s="156"/>
      <c r="B147" s="156"/>
      <c r="C147" s="157"/>
      <c r="D147" s="3"/>
      <c r="E147" s="3"/>
    </row>
    <row r="148" ht="15.75" customHeight="1">
      <c r="A148" s="156"/>
      <c r="B148" s="156"/>
      <c r="C148" s="157"/>
      <c r="D148" s="3"/>
      <c r="E148" s="3"/>
    </row>
    <row r="149" ht="15.75" customHeight="1">
      <c r="A149" s="156"/>
      <c r="B149" s="156"/>
      <c r="C149" s="157"/>
      <c r="D149" s="3"/>
      <c r="E149" s="3"/>
    </row>
    <row r="150" ht="15.75" customHeight="1">
      <c r="A150" s="156"/>
      <c r="B150" s="156"/>
      <c r="C150" s="157"/>
      <c r="D150" s="3"/>
      <c r="E150" s="3"/>
    </row>
    <row r="151" ht="15.75" customHeight="1">
      <c r="A151" s="156"/>
      <c r="B151" s="156"/>
      <c r="C151" s="157"/>
      <c r="D151" s="3"/>
      <c r="E151" s="3"/>
    </row>
    <row r="152" ht="15.75" customHeight="1">
      <c r="A152" s="156"/>
      <c r="B152" s="156"/>
      <c r="C152" s="157"/>
      <c r="D152" s="3"/>
      <c r="E152" s="3"/>
    </row>
    <row r="153" ht="15.75" customHeight="1">
      <c r="A153" s="156"/>
      <c r="B153" s="156"/>
      <c r="C153" s="157"/>
      <c r="D153" s="3"/>
      <c r="E153" s="3"/>
    </row>
    <row r="154" ht="15.75" customHeight="1">
      <c r="A154" s="156"/>
      <c r="B154" s="156"/>
      <c r="C154" s="157"/>
      <c r="D154" s="3"/>
      <c r="E154" s="3"/>
    </row>
    <row r="155" ht="15.75" customHeight="1">
      <c r="A155" s="156"/>
      <c r="B155" s="156"/>
      <c r="C155" s="157"/>
      <c r="D155" s="3"/>
      <c r="E155" s="3"/>
    </row>
    <row r="156" ht="15.75" customHeight="1">
      <c r="A156" s="156"/>
      <c r="B156" s="156"/>
      <c r="C156" s="157"/>
      <c r="D156" s="3"/>
      <c r="E156" s="3"/>
    </row>
    <row r="157" ht="15.75" customHeight="1">
      <c r="A157" s="156"/>
      <c r="B157" s="156"/>
      <c r="C157" s="157"/>
      <c r="D157" s="3"/>
      <c r="E157" s="3"/>
    </row>
    <row r="158" ht="15.75" customHeight="1">
      <c r="A158" s="156"/>
      <c r="B158" s="156"/>
      <c r="C158" s="157"/>
      <c r="D158" s="3"/>
      <c r="E158" s="3"/>
    </row>
    <row r="159" ht="15.75" customHeight="1">
      <c r="A159" s="156"/>
      <c r="B159" s="156"/>
      <c r="C159" s="157"/>
      <c r="D159" s="3"/>
      <c r="E159" s="3"/>
    </row>
    <row r="160" ht="15.75" customHeight="1">
      <c r="A160" s="156"/>
      <c r="B160" s="156"/>
      <c r="C160" s="157"/>
      <c r="D160" s="3"/>
      <c r="E160" s="3"/>
    </row>
    <row r="161" ht="15.75" customHeight="1">
      <c r="A161" s="156"/>
      <c r="B161" s="156"/>
      <c r="C161" s="157"/>
      <c r="D161" s="3"/>
      <c r="E161" s="3"/>
    </row>
    <row r="162" ht="15.75" customHeight="1">
      <c r="A162" s="156"/>
      <c r="B162" s="156"/>
      <c r="C162" s="157"/>
      <c r="D162" s="3"/>
      <c r="E162" s="3"/>
    </row>
    <row r="163" ht="15.75" customHeight="1">
      <c r="A163" s="156"/>
      <c r="B163" s="156"/>
      <c r="C163" s="157"/>
      <c r="D163" s="3"/>
      <c r="E163" s="3"/>
    </row>
    <row r="164" ht="15.75" customHeight="1">
      <c r="A164" s="156"/>
      <c r="B164" s="156"/>
      <c r="C164" s="157"/>
      <c r="D164" s="3"/>
      <c r="E164" s="3"/>
    </row>
    <row r="165" ht="15.75" customHeight="1">
      <c r="A165" s="156"/>
      <c r="B165" s="156"/>
      <c r="C165" s="157"/>
      <c r="D165" s="3"/>
      <c r="E165" s="3"/>
    </row>
    <row r="166" ht="15.75" customHeight="1">
      <c r="A166" s="156"/>
      <c r="B166" s="156"/>
      <c r="C166" s="157"/>
      <c r="D166" s="3"/>
      <c r="E166" s="3"/>
    </row>
    <row r="167" ht="15.75" customHeight="1">
      <c r="A167" s="156"/>
      <c r="B167" s="156"/>
      <c r="C167" s="157"/>
      <c r="D167" s="3"/>
      <c r="E167" s="3"/>
    </row>
    <row r="168" ht="15.75" customHeight="1">
      <c r="A168" s="156"/>
      <c r="B168" s="156"/>
      <c r="C168" s="157"/>
      <c r="D168" s="3"/>
      <c r="E168" s="3"/>
    </row>
    <row r="169" ht="15.75" customHeight="1">
      <c r="A169" s="156"/>
      <c r="B169" s="156"/>
      <c r="C169" s="157"/>
      <c r="D169" s="3"/>
      <c r="E169" s="3"/>
    </row>
    <row r="170" ht="15.75" customHeight="1">
      <c r="A170" s="156"/>
      <c r="B170" s="156"/>
      <c r="C170" s="157"/>
      <c r="D170" s="3"/>
      <c r="E170" s="3"/>
    </row>
    <row r="171" ht="15.75" customHeight="1">
      <c r="A171" s="156"/>
      <c r="B171" s="156"/>
      <c r="C171" s="157"/>
      <c r="D171" s="3"/>
      <c r="E171" s="3"/>
    </row>
    <row r="172" ht="15.75" customHeight="1">
      <c r="A172" s="156"/>
      <c r="B172" s="156"/>
      <c r="C172" s="157"/>
      <c r="D172" s="3"/>
      <c r="E172" s="3"/>
    </row>
    <row r="173" ht="15.75" customHeight="1">
      <c r="A173" s="156"/>
      <c r="B173" s="156"/>
      <c r="C173" s="157"/>
      <c r="D173" s="3"/>
      <c r="E173" s="3"/>
    </row>
    <row r="174" ht="15.75" customHeight="1">
      <c r="A174" s="156"/>
      <c r="B174" s="156"/>
      <c r="C174" s="157"/>
      <c r="D174" s="3"/>
      <c r="E174" s="3"/>
    </row>
    <row r="175" ht="15.75" customHeight="1">
      <c r="A175" s="156"/>
      <c r="B175" s="156"/>
      <c r="C175" s="157"/>
      <c r="D175" s="3"/>
      <c r="E175" s="3"/>
    </row>
    <row r="176" ht="15.75" customHeight="1">
      <c r="A176" s="156"/>
      <c r="B176" s="156"/>
      <c r="C176" s="157"/>
      <c r="D176" s="3"/>
      <c r="E176" s="3"/>
    </row>
    <row r="177" ht="15.75" customHeight="1">
      <c r="A177" s="156"/>
      <c r="B177" s="156"/>
      <c r="C177" s="157"/>
      <c r="D177" s="3"/>
      <c r="E177" s="3"/>
    </row>
    <row r="178" ht="15.75" customHeight="1">
      <c r="A178" s="156"/>
      <c r="B178" s="156"/>
      <c r="C178" s="157"/>
      <c r="D178" s="3"/>
      <c r="E178" s="3"/>
    </row>
    <row r="179" ht="15.75" customHeight="1">
      <c r="A179" s="156"/>
      <c r="B179" s="156"/>
      <c r="C179" s="157"/>
      <c r="D179" s="3"/>
      <c r="E179" s="3"/>
    </row>
    <row r="180" ht="15.75" customHeight="1">
      <c r="A180" s="156"/>
      <c r="B180" s="156"/>
      <c r="C180" s="157"/>
      <c r="D180" s="3"/>
      <c r="E180" s="3"/>
    </row>
    <row r="181" ht="15.75" customHeight="1">
      <c r="A181" s="156"/>
      <c r="B181" s="156"/>
      <c r="C181" s="157"/>
      <c r="D181" s="3"/>
      <c r="E181" s="3"/>
    </row>
    <row r="182" ht="15.75" customHeight="1">
      <c r="A182" s="156"/>
      <c r="B182" s="156"/>
      <c r="C182" s="157"/>
      <c r="D182" s="3"/>
      <c r="E182" s="3"/>
    </row>
    <row r="183" ht="15.75" customHeight="1">
      <c r="A183" s="156"/>
      <c r="B183" s="156"/>
      <c r="C183" s="157"/>
      <c r="D183" s="3"/>
      <c r="E183" s="3"/>
    </row>
    <row r="184" ht="15.75" customHeight="1">
      <c r="A184" s="156"/>
      <c r="B184" s="156"/>
      <c r="C184" s="157"/>
      <c r="D184" s="3"/>
      <c r="E184" s="3"/>
    </row>
    <row r="185" ht="15.75" customHeight="1">
      <c r="A185" s="156"/>
      <c r="B185" s="156"/>
      <c r="C185" s="157"/>
      <c r="D185" s="3"/>
      <c r="E185" s="3"/>
    </row>
    <row r="186" ht="15.75" customHeight="1">
      <c r="A186" s="156"/>
      <c r="B186" s="156"/>
      <c r="C186" s="157"/>
      <c r="D186" s="3"/>
      <c r="E186" s="3"/>
    </row>
    <row r="187" ht="15.75" customHeight="1">
      <c r="A187" s="156"/>
      <c r="B187" s="156"/>
      <c r="C187" s="157"/>
      <c r="D187" s="3"/>
      <c r="E187" s="3"/>
    </row>
    <row r="188" ht="15.75" customHeight="1">
      <c r="A188" s="156"/>
      <c r="B188" s="156"/>
      <c r="C188" s="157"/>
      <c r="D188" s="3"/>
      <c r="E188" s="3"/>
    </row>
    <row r="189" ht="15.75" customHeight="1">
      <c r="A189" s="156"/>
      <c r="B189" s="156"/>
      <c r="C189" s="157"/>
      <c r="D189" s="3"/>
      <c r="E189" s="3"/>
    </row>
    <row r="190" ht="15.75" customHeight="1">
      <c r="A190" s="156"/>
      <c r="B190" s="156"/>
      <c r="C190" s="157"/>
      <c r="D190" s="3"/>
      <c r="E190" s="3"/>
    </row>
    <row r="191" ht="15.75" customHeight="1">
      <c r="A191" s="156"/>
      <c r="B191" s="156"/>
      <c r="C191" s="157"/>
      <c r="D191" s="3"/>
      <c r="E191" s="3"/>
    </row>
    <row r="192" ht="15.75" customHeight="1">
      <c r="A192" s="156"/>
      <c r="B192" s="156"/>
      <c r="C192" s="157"/>
      <c r="D192" s="3"/>
      <c r="E192" s="3"/>
    </row>
    <row r="193" ht="15.75" customHeight="1">
      <c r="A193" s="156"/>
      <c r="B193" s="156"/>
      <c r="C193" s="157"/>
      <c r="D193" s="3"/>
      <c r="E193" s="3"/>
    </row>
    <row r="194" ht="15.75" customHeight="1">
      <c r="A194" s="156"/>
      <c r="B194" s="156"/>
      <c r="C194" s="157"/>
      <c r="D194" s="3"/>
      <c r="E194" s="3"/>
    </row>
    <row r="195" ht="15.75" customHeight="1">
      <c r="A195" s="156"/>
      <c r="B195" s="156"/>
      <c r="C195" s="157"/>
      <c r="D195" s="3"/>
      <c r="E195" s="3"/>
    </row>
    <row r="196" ht="15.75" customHeight="1">
      <c r="A196" s="156"/>
      <c r="B196" s="156"/>
      <c r="C196" s="157"/>
      <c r="D196" s="3"/>
      <c r="E196" s="3"/>
    </row>
    <row r="197" ht="15.75" customHeight="1">
      <c r="A197" s="156"/>
      <c r="B197" s="156"/>
      <c r="C197" s="157"/>
      <c r="D197" s="3"/>
      <c r="E197" s="3"/>
    </row>
    <row r="198" ht="15.75" customHeight="1">
      <c r="A198" s="156"/>
      <c r="B198" s="156"/>
      <c r="C198" s="157"/>
      <c r="D198" s="3"/>
      <c r="E198" s="3"/>
    </row>
    <row r="199" ht="15.75" customHeight="1">
      <c r="A199" s="156"/>
      <c r="B199" s="156"/>
      <c r="C199" s="157"/>
      <c r="D199" s="3"/>
      <c r="E199" s="3"/>
    </row>
    <row r="200" ht="15.75" customHeight="1">
      <c r="A200" s="156"/>
      <c r="B200" s="156"/>
      <c r="C200" s="157"/>
      <c r="D200" s="3"/>
      <c r="E200" s="3"/>
    </row>
    <row r="201" ht="15.75" customHeight="1">
      <c r="A201" s="156"/>
      <c r="B201" s="156"/>
      <c r="C201" s="157"/>
      <c r="D201" s="3"/>
      <c r="E201" s="3"/>
    </row>
    <row r="202" ht="15.75" customHeight="1">
      <c r="A202" s="156"/>
      <c r="B202" s="156"/>
      <c r="C202" s="157"/>
      <c r="D202" s="3"/>
      <c r="E202" s="3"/>
    </row>
    <row r="203" ht="15.75" customHeight="1">
      <c r="A203" s="156"/>
      <c r="B203" s="156"/>
      <c r="C203" s="157"/>
      <c r="D203" s="3"/>
      <c r="E203" s="3"/>
    </row>
    <row r="204" ht="15.75" customHeight="1">
      <c r="A204" s="156"/>
      <c r="B204" s="156"/>
      <c r="C204" s="157"/>
      <c r="D204" s="3"/>
      <c r="E204" s="3"/>
    </row>
    <row r="205" ht="15.75" customHeight="1">
      <c r="A205" s="156"/>
      <c r="B205" s="156"/>
      <c r="C205" s="157"/>
      <c r="D205" s="3"/>
      <c r="E205" s="3"/>
    </row>
    <row r="206" ht="15.75" customHeight="1">
      <c r="A206" s="156"/>
      <c r="B206" s="156"/>
      <c r="C206" s="157"/>
      <c r="D206" s="3"/>
      <c r="E206" s="3"/>
    </row>
    <row r="207" ht="15.75" customHeight="1">
      <c r="A207" s="156"/>
      <c r="B207" s="156"/>
      <c r="C207" s="157"/>
      <c r="D207" s="3"/>
      <c r="E207" s="3"/>
    </row>
    <row r="208" ht="15.75" customHeight="1">
      <c r="A208" s="156"/>
      <c r="B208" s="156"/>
      <c r="C208" s="157"/>
      <c r="D208" s="3"/>
      <c r="E208" s="3"/>
    </row>
    <row r="209" ht="15.75" customHeight="1">
      <c r="A209" s="156"/>
      <c r="B209" s="156"/>
      <c r="C209" s="157"/>
      <c r="D209" s="3"/>
      <c r="E209" s="3"/>
    </row>
    <row r="210" ht="15.75" customHeight="1">
      <c r="A210" s="156"/>
      <c r="B210" s="156"/>
      <c r="C210" s="157"/>
      <c r="D210" s="3"/>
      <c r="E210" s="3"/>
    </row>
    <row r="211" ht="15.75" customHeight="1">
      <c r="A211" s="156"/>
      <c r="B211" s="156"/>
      <c r="C211" s="157"/>
      <c r="D211" s="3"/>
      <c r="E211" s="3"/>
    </row>
    <row r="212" ht="15.75" customHeight="1">
      <c r="A212" s="156"/>
      <c r="B212" s="156"/>
      <c r="C212" s="157"/>
      <c r="D212" s="3"/>
      <c r="E212" s="3"/>
    </row>
    <row r="213" ht="15.75" customHeight="1">
      <c r="A213" s="156"/>
      <c r="B213" s="156"/>
      <c r="C213" s="157"/>
      <c r="D213" s="3"/>
      <c r="E213" s="3"/>
    </row>
    <row r="214" ht="15.75" customHeight="1">
      <c r="A214" s="156"/>
      <c r="B214" s="156"/>
      <c r="C214" s="157"/>
      <c r="D214" s="3"/>
      <c r="E214" s="3"/>
    </row>
    <row r="215" ht="15.75" customHeight="1">
      <c r="A215" s="156"/>
      <c r="B215" s="156"/>
      <c r="C215" s="157"/>
      <c r="D215" s="3"/>
      <c r="E215" s="3"/>
    </row>
    <row r="216" ht="15.75" customHeight="1">
      <c r="A216" s="156"/>
      <c r="B216" s="156"/>
      <c r="C216" s="157"/>
      <c r="D216" s="3"/>
      <c r="E216" s="3"/>
    </row>
    <row r="217" ht="15.75" customHeight="1">
      <c r="A217" s="156"/>
      <c r="B217" s="156"/>
      <c r="C217" s="157"/>
      <c r="D217" s="3"/>
      <c r="E217" s="3"/>
    </row>
    <row r="218" ht="15.75" customHeight="1">
      <c r="A218" s="156"/>
      <c r="B218" s="156"/>
      <c r="C218" s="157"/>
      <c r="D218" s="3"/>
      <c r="E218" s="3"/>
    </row>
    <row r="219" ht="15.75" customHeight="1">
      <c r="A219" s="156"/>
      <c r="B219" s="156"/>
      <c r="C219" s="157"/>
      <c r="D219" s="3"/>
      <c r="E219" s="3"/>
    </row>
    <row r="220" ht="15.75" customHeight="1">
      <c r="A220" s="156"/>
      <c r="B220" s="156"/>
      <c r="C220" s="157"/>
      <c r="D220" s="3"/>
      <c r="E220" s="3"/>
    </row>
    <row r="221" ht="15.75" customHeight="1">
      <c r="A221" s="156"/>
      <c r="B221" s="156"/>
      <c r="C221" s="157"/>
      <c r="D221" s="3"/>
      <c r="E221" s="3"/>
    </row>
    <row r="222" ht="15.75" customHeight="1">
      <c r="A222" s="156"/>
      <c r="B222" s="156"/>
      <c r="C222" s="157"/>
      <c r="D222" s="3"/>
      <c r="E222" s="3"/>
    </row>
    <row r="223" ht="15.75" customHeight="1">
      <c r="A223" s="156"/>
      <c r="B223" s="156"/>
      <c r="C223" s="157"/>
      <c r="D223" s="3"/>
      <c r="E223" s="3"/>
    </row>
    <row r="224" ht="15.75" customHeight="1">
      <c r="A224" s="156"/>
      <c r="B224" s="156"/>
      <c r="C224" s="157"/>
      <c r="D224" s="3"/>
      <c r="E224" s="3"/>
    </row>
    <row r="225" ht="15.75" customHeight="1">
      <c r="A225" s="156"/>
      <c r="B225" s="156"/>
      <c r="C225" s="157"/>
      <c r="D225" s="3"/>
      <c r="E225" s="3"/>
    </row>
    <row r="226" ht="15.75" customHeight="1">
      <c r="A226" s="156"/>
      <c r="B226" s="156"/>
      <c r="C226" s="157"/>
      <c r="D226" s="3"/>
      <c r="E226" s="3"/>
    </row>
    <row r="227" ht="15.75" customHeight="1">
      <c r="A227" s="156"/>
      <c r="B227" s="156"/>
      <c r="C227" s="157"/>
      <c r="D227" s="3"/>
      <c r="E227" s="3"/>
    </row>
    <row r="228" ht="15.75" customHeight="1">
      <c r="A228" s="156"/>
      <c r="B228" s="156"/>
      <c r="C228" s="157"/>
      <c r="D228" s="3"/>
      <c r="E228" s="3"/>
    </row>
    <row r="229" ht="15.75" customHeight="1">
      <c r="A229" s="156"/>
      <c r="B229" s="156"/>
      <c r="C229" s="157"/>
      <c r="D229" s="3"/>
      <c r="E229" s="3"/>
    </row>
    <row r="230" ht="15.75" customHeight="1">
      <c r="A230" s="156"/>
      <c r="B230" s="156"/>
      <c r="C230" s="157"/>
      <c r="D230" s="3"/>
      <c r="E230" s="3"/>
    </row>
    <row r="231" ht="15.75" customHeight="1">
      <c r="A231" s="156"/>
      <c r="B231" s="156"/>
      <c r="C231" s="157"/>
      <c r="D231" s="3"/>
      <c r="E231" s="3"/>
    </row>
    <row r="232" ht="15.75" customHeight="1">
      <c r="A232" s="156"/>
      <c r="B232" s="156"/>
      <c r="C232" s="157"/>
      <c r="D232" s="3"/>
      <c r="E232" s="3"/>
    </row>
    <row r="233" ht="15.75" customHeight="1">
      <c r="A233" s="156"/>
      <c r="B233" s="156"/>
      <c r="C233" s="157"/>
      <c r="D233" s="3"/>
      <c r="E233" s="3"/>
    </row>
    <row r="234" ht="15.75" customHeight="1">
      <c r="A234" s="156"/>
      <c r="B234" s="156"/>
      <c r="C234" s="157"/>
      <c r="D234" s="3"/>
      <c r="E234" s="3"/>
    </row>
    <row r="235" ht="15.75" customHeight="1">
      <c r="A235" s="156"/>
      <c r="B235" s="156"/>
      <c r="C235" s="157"/>
      <c r="D235" s="3"/>
      <c r="E235" s="3"/>
    </row>
    <row r="236" ht="15.75" customHeight="1">
      <c r="A236" s="156"/>
      <c r="B236" s="156"/>
      <c r="C236" s="157"/>
      <c r="D236" s="3"/>
      <c r="E236" s="3"/>
    </row>
    <row r="237" ht="15.75" customHeight="1">
      <c r="A237" s="156"/>
      <c r="B237" s="156"/>
      <c r="C237" s="157"/>
      <c r="D237" s="3"/>
      <c r="E237" s="3"/>
    </row>
    <row r="238" ht="15.75" customHeight="1">
      <c r="A238" s="156"/>
      <c r="B238" s="156"/>
      <c r="C238" s="157"/>
      <c r="D238" s="3"/>
      <c r="E238" s="3"/>
    </row>
    <row r="239" ht="15.75" customHeight="1">
      <c r="A239" s="156"/>
      <c r="B239" s="156"/>
      <c r="C239" s="157"/>
      <c r="D239" s="3"/>
      <c r="E239" s="3"/>
    </row>
    <row r="240" ht="15.75" customHeight="1">
      <c r="A240" s="156"/>
      <c r="B240" s="156"/>
      <c r="C240" s="157"/>
      <c r="D240" s="3"/>
      <c r="E240" s="3"/>
    </row>
    <row r="241" ht="15.75" customHeight="1">
      <c r="A241" s="156"/>
      <c r="B241" s="156"/>
      <c r="C241" s="157"/>
      <c r="D241" s="3"/>
      <c r="E241" s="3"/>
    </row>
    <row r="242" ht="15.75" customHeight="1">
      <c r="A242" s="156"/>
      <c r="B242" s="156"/>
      <c r="C242" s="157"/>
      <c r="D242" s="3"/>
      <c r="E242" s="3"/>
    </row>
    <row r="243" ht="15.75" customHeight="1">
      <c r="A243" s="156"/>
      <c r="B243" s="156"/>
      <c r="C243" s="157"/>
      <c r="D243" s="3"/>
      <c r="E243" s="3"/>
    </row>
    <row r="244" ht="15.75" customHeight="1">
      <c r="A244" s="156"/>
      <c r="B244" s="156"/>
      <c r="C244" s="157"/>
      <c r="D244" s="3"/>
      <c r="E244" s="3"/>
    </row>
    <row r="245" ht="15.75" customHeight="1">
      <c r="A245" s="156"/>
      <c r="B245" s="156"/>
      <c r="C245" s="157"/>
      <c r="D245" s="3"/>
      <c r="E245" s="3"/>
    </row>
    <row r="246" ht="15.75" customHeight="1">
      <c r="A246" s="156"/>
      <c r="B246" s="156"/>
      <c r="C246" s="157"/>
      <c r="D246" s="3"/>
      <c r="E246" s="3"/>
    </row>
    <row r="247" ht="15.75" customHeight="1">
      <c r="A247" s="156"/>
      <c r="B247" s="156"/>
      <c r="C247" s="157"/>
      <c r="D247" s="3"/>
      <c r="E247" s="3"/>
    </row>
    <row r="248" ht="15.75" customHeight="1">
      <c r="A248" s="156"/>
      <c r="B248" s="156"/>
      <c r="C248" s="157"/>
      <c r="D248" s="3"/>
      <c r="E248" s="3"/>
    </row>
    <row r="249" ht="15.75" customHeight="1">
      <c r="A249" s="156"/>
      <c r="B249" s="156"/>
      <c r="C249" s="157"/>
      <c r="D249" s="3"/>
      <c r="E249" s="3"/>
    </row>
    <row r="250" ht="15.75" customHeight="1">
      <c r="A250" s="156"/>
      <c r="B250" s="156"/>
      <c r="C250" s="157"/>
      <c r="D250" s="3"/>
      <c r="E250" s="3"/>
    </row>
    <row r="251" ht="15.75" customHeight="1">
      <c r="A251" s="156"/>
      <c r="B251" s="156"/>
      <c r="C251" s="157"/>
      <c r="D251" s="3"/>
      <c r="E251" s="3"/>
    </row>
    <row r="252" ht="15.75" customHeight="1">
      <c r="A252" s="156"/>
      <c r="B252" s="156"/>
      <c r="C252" s="157"/>
      <c r="D252" s="3"/>
      <c r="E252" s="3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26.86"/>
    <col customWidth="1" min="3" max="3" width="9.29"/>
    <col customWidth="1" min="4" max="4" width="4.0"/>
    <col customWidth="1" min="5" max="5" width="4.43"/>
    <col customWidth="1" min="6" max="8" width="7.86"/>
    <col customWidth="1" min="9" max="10" width="6.0"/>
    <col customWidth="1" min="11" max="11" width="13.14"/>
    <col customWidth="1" min="12" max="12" width="11.43"/>
    <col customWidth="1" min="13" max="13" width="13.71"/>
    <col customWidth="1" min="14" max="14" width="12.43"/>
    <col customWidth="1" min="15" max="15" width="9.43"/>
    <col customWidth="1" min="16" max="16" width="14.57"/>
    <col customWidth="1" min="17" max="17" width="6.86"/>
    <col customWidth="1" min="18" max="18" width="13.86"/>
    <col customWidth="1" min="19" max="19" width="22.43"/>
    <col customWidth="1" min="20" max="20" width="63.57"/>
    <col customWidth="1" min="21" max="21" width="7.14"/>
    <col customWidth="1" min="22" max="22" width="8.71"/>
    <col customWidth="1" min="23" max="23" width="6.43"/>
    <col customWidth="1" min="24" max="25" width="7.86"/>
    <col customWidth="1" min="26" max="26" width="6.43"/>
    <col customWidth="1" min="27" max="28" width="7.86"/>
    <col customWidth="1" min="29" max="29" width="3.86"/>
    <col customWidth="1" min="30" max="30" width="14.29"/>
    <col customWidth="1" min="31" max="39" width="6.43"/>
    <col customWidth="1" min="40" max="40" width="9.0"/>
    <col customWidth="1" min="41" max="42" width="13.0"/>
    <col customWidth="1" min="43" max="43" width="6.71"/>
    <col customWidth="1" min="44" max="44" width="4.71"/>
    <col customWidth="1" min="45" max="45" width="6.0"/>
    <col customWidth="1" min="46" max="46" width="6.86"/>
    <col customWidth="1" min="47" max="48" width="8.29"/>
    <col customWidth="1" min="49" max="49" width="13.43"/>
    <col customWidth="1" min="50" max="52" width="11.43"/>
    <col customWidth="1" min="53" max="53" width="14.29"/>
    <col customWidth="1" min="54" max="54" width="20.0"/>
    <col customWidth="1" min="55" max="55" width="22.86"/>
    <col customWidth="1" min="56" max="61" width="11.43"/>
  </cols>
  <sheetData>
    <row r="1">
      <c r="A1" s="156"/>
      <c r="B1" s="156"/>
      <c r="C1" s="157"/>
      <c r="D1" s="3"/>
      <c r="E1" s="3"/>
      <c r="M1" s="158" t="s">
        <v>455</v>
      </c>
      <c r="N1" s="158" t="s">
        <v>456</v>
      </c>
      <c r="O1" s="158" t="s">
        <v>457</v>
      </c>
      <c r="P1" s="159" t="s">
        <v>458</v>
      </c>
      <c r="Q1" s="160"/>
      <c r="R1" s="160"/>
      <c r="S1" s="161"/>
      <c r="T1" s="162" t="s">
        <v>459</v>
      </c>
      <c r="AC1" s="158" t="s">
        <v>460</v>
      </c>
      <c r="AD1" s="159"/>
      <c r="AE1" s="162" t="s">
        <v>459</v>
      </c>
      <c r="AN1" s="163"/>
      <c r="AO1" s="163"/>
      <c r="AP1" s="163"/>
      <c r="AQ1" s="159"/>
      <c r="AR1" s="163" t="s">
        <v>461</v>
      </c>
      <c r="AS1" s="163"/>
      <c r="AT1" s="163" t="s">
        <v>462</v>
      </c>
      <c r="AU1" s="163"/>
      <c r="AV1" s="163"/>
      <c r="AW1" s="164"/>
      <c r="AX1" s="163"/>
      <c r="AY1" s="165" t="s">
        <v>463</v>
      </c>
      <c r="AZ1" s="163"/>
      <c r="BA1" s="163"/>
    </row>
    <row r="2">
      <c r="A2" s="156"/>
      <c r="B2" s="156"/>
      <c r="C2" s="157"/>
      <c r="D2" s="3"/>
      <c r="E2" s="3"/>
      <c r="M2" s="160">
        <v>600.0</v>
      </c>
      <c r="N2" s="160">
        <v>10.0</v>
      </c>
      <c r="O2" s="160">
        <v>120.0</v>
      </c>
      <c r="P2" s="161">
        <v>45.0</v>
      </c>
      <c r="Q2" s="160"/>
      <c r="R2" s="160"/>
      <c r="S2" s="161"/>
      <c r="T2" s="93" t="b">
        <v>0</v>
      </c>
      <c r="U2" s="93" t="b">
        <v>1</v>
      </c>
      <c r="V2" s="93" t="b">
        <v>0</v>
      </c>
      <c r="W2" s="93" t="b">
        <v>0</v>
      </c>
      <c r="X2" s="93" t="b">
        <v>0</v>
      </c>
      <c r="Y2" s="93" t="b">
        <v>0</v>
      </c>
      <c r="Z2" s="93" t="b">
        <v>0</v>
      </c>
      <c r="AA2" s="93" t="b">
        <v>0</v>
      </c>
      <c r="AB2" s="93" t="b">
        <v>0</v>
      </c>
      <c r="AC2" s="73">
        <v>2.0</v>
      </c>
      <c r="AD2" s="161"/>
      <c r="AE2" s="93" t="b">
        <v>0</v>
      </c>
      <c r="AF2" s="93" t="b">
        <v>1</v>
      </c>
      <c r="AG2" s="93" t="b">
        <v>0</v>
      </c>
      <c r="AH2" s="93" t="b">
        <v>0</v>
      </c>
      <c r="AI2" s="93" t="b">
        <v>0</v>
      </c>
      <c r="AJ2" s="93" t="b">
        <v>0</v>
      </c>
      <c r="AK2" s="93" t="b">
        <v>0</v>
      </c>
      <c r="AL2" s="93" t="b">
        <v>0</v>
      </c>
      <c r="AM2" s="93" t="b">
        <v>0</v>
      </c>
      <c r="AQ2" s="161"/>
      <c r="AR2" s="166">
        <v>0.1</v>
      </c>
      <c r="AT2" s="167">
        <v>0.05</v>
      </c>
      <c r="AW2" s="168"/>
      <c r="AY2" s="169">
        <v>0.25</v>
      </c>
    </row>
    <row r="3">
      <c r="A3" s="131" t="s">
        <v>405</v>
      </c>
      <c r="B3" s="132"/>
      <c r="C3" s="133" t="s">
        <v>406</v>
      </c>
      <c r="D3" s="131" t="s">
        <v>407</v>
      </c>
      <c r="E3" s="131" t="s">
        <v>408</v>
      </c>
      <c r="F3" s="131" t="s">
        <v>409</v>
      </c>
      <c r="G3" s="131" t="s">
        <v>410</v>
      </c>
      <c r="H3" s="131" t="s">
        <v>411</v>
      </c>
      <c r="I3" s="131" t="s">
        <v>412</v>
      </c>
      <c r="J3" s="131" t="s">
        <v>413</v>
      </c>
      <c r="K3" s="134" t="s">
        <v>414</v>
      </c>
      <c r="L3" s="3"/>
      <c r="M3" s="134" t="s">
        <v>329</v>
      </c>
      <c r="N3" s="134" t="s">
        <v>330</v>
      </c>
      <c r="O3" s="134" t="s">
        <v>331</v>
      </c>
      <c r="P3" s="134" t="s">
        <v>332</v>
      </c>
      <c r="Q3" s="134" t="s">
        <v>333</v>
      </c>
      <c r="R3" s="134" t="s">
        <v>464</v>
      </c>
      <c r="S3" s="134" t="s">
        <v>465</v>
      </c>
      <c r="T3" s="134" t="s">
        <v>466</v>
      </c>
      <c r="U3" s="134" t="s">
        <v>467</v>
      </c>
      <c r="V3" s="134" t="s">
        <v>468</v>
      </c>
      <c r="W3" s="134" t="s">
        <v>469</v>
      </c>
      <c r="X3" s="134" t="s">
        <v>470</v>
      </c>
      <c r="Y3" s="134" t="s">
        <v>471</v>
      </c>
      <c r="Z3" s="134" t="s">
        <v>472</v>
      </c>
      <c r="AA3" s="134" t="s">
        <v>473</v>
      </c>
      <c r="AB3" s="134" t="s">
        <v>474</v>
      </c>
      <c r="AC3" s="134" t="s">
        <v>475</v>
      </c>
      <c r="AD3" s="134" t="s">
        <v>476</v>
      </c>
      <c r="AE3" s="134" t="s">
        <v>477</v>
      </c>
      <c r="AF3" s="134" t="s">
        <v>478</v>
      </c>
      <c r="AG3" s="134" t="s">
        <v>479</v>
      </c>
      <c r="AH3" s="134" t="s">
        <v>480</v>
      </c>
      <c r="AI3" s="134" t="s">
        <v>481</v>
      </c>
      <c r="AJ3" s="134" t="s">
        <v>482</v>
      </c>
      <c r="AK3" s="134" t="s">
        <v>483</v>
      </c>
      <c r="AL3" s="134" t="s">
        <v>484</v>
      </c>
      <c r="AM3" s="134" t="s">
        <v>485</v>
      </c>
      <c r="AN3" s="134" t="s">
        <v>486</v>
      </c>
      <c r="AO3" s="134" t="s">
        <v>487</v>
      </c>
      <c r="AP3" s="134" t="s">
        <v>488</v>
      </c>
      <c r="AQ3" s="134" t="s">
        <v>392</v>
      </c>
      <c r="AR3" s="134" t="s">
        <v>23</v>
      </c>
      <c r="AS3" s="134" t="s">
        <v>53</v>
      </c>
      <c r="AT3" s="134" t="s">
        <v>489</v>
      </c>
      <c r="AU3" s="134" t="s">
        <v>54</v>
      </c>
      <c r="AV3" s="134"/>
      <c r="AW3" s="134" t="s">
        <v>490</v>
      </c>
      <c r="AX3" s="134" t="s">
        <v>52</v>
      </c>
      <c r="AY3" s="134" t="s">
        <v>491</v>
      </c>
      <c r="AZ3" s="134" t="s">
        <v>492</v>
      </c>
      <c r="BA3" s="134" t="s">
        <v>493</v>
      </c>
      <c r="BB3" s="3"/>
      <c r="BC3" s="170" t="s">
        <v>494</v>
      </c>
      <c r="BD3" s="171">
        <f>AVERAGE(AZ5:AZ45)</f>
        <v>19.46015401</v>
      </c>
      <c r="BE3" s="3"/>
      <c r="BF3" s="3">
        <v>1728.0</v>
      </c>
      <c r="BG3" s="172">
        <f>BD5*BF3</f>
        <v>33022.17272</v>
      </c>
      <c r="BH3" s="3"/>
      <c r="BI3" s="3"/>
    </row>
    <row r="4" ht="15.75" customHeight="1">
      <c r="A4" s="135" t="s">
        <v>415</v>
      </c>
      <c r="B4" s="135"/>
      <c r="C4" s="136"/>
      <c r="D4" s="137">
        <v>0.0</v>
      </c>
      <c r="E4" s="137">
        <v>0.0</v>
      </c>
      <c r="F4" s="138">
        <v>0.0</v>
      </c>
      <c r="G4" s="138">
        <v>0.0</v>
      </c>
      <c r="H4" s="138">
        <v>0.0</v>
      </c>
      <c r="I4" s="138">
        <v>0.0</v>
      </c>
      <c r="J4" s="138">
        <v>0.0</v>
      </c>
      <c r="K4" s="139">
        <f t="shared" ref="K4:K6" si="1">SUM(G4:J4)</f>
        <v>0</v>
      </c>
      <c r="M4" s="173">
        <f>(E4)*'Base Operating Costs'!$B$13</f>
        <v>0</v>
      </c>
      <c r="N4" s="173">
        <f>(E4)*'Base Operating Costs'!$B$14</f>
        <v>0</v>
      </c>
      <c r="O4" s="173">
        <f>'Base Operating Costs'!$B$15*(E4)</f>
        <v>0</v>
      </c>
      <c r="P4" s="173">
        <f>D4*'Base Operating Costs'!$B$4</f>
        <v>0</v>
      </c>
      <c r="Q4" s="174">
        <f t="shared" ref="Q4:Q54" si="2">F4</f>
        <v>0</v>
      </c>
      <c r="R4" s="174"/>
      <c r="S4" s="175">
        <f>M4+N4+O4+P4+Q4</f>
        <v>0</v>
      </c>
      <c r="T4" s="176">
        <f>S4*(1+'Pricing Policies'!$C$5/100)*'Pricing Policies'!$D$4*IF($C4="TRF",1,(1+Markups!$B$4/100))</f>
        <v>0</v>
      </c>
      <c r="U4" s="176">
        <f>S4*(1+'Pricing Policies'!$C$5/100)*'Pricing Policies'!$E$4*IF($C4="TRF",1,(1+Markups!$B$4/100))</f>
        <v>0</v>
      </c>
      <c r="V4" s="176">
        <f>S4*(1+'Pricing Policies'!$C$5/100)*'Pricing Policies'!$F$4*IF($C4="TRF",1,(1+Markups!$B$4/100))</f>
        <v>0</v>
      </c>
      <c r="W4" s="176">
        <f>S4*(1+'Pricing Policies'!$C$6/100)*'Pricing Policies'!$D$4*IF($C4="TRF",1,(1+Markups!$B$4/100))</f>
        <v>0</v>
      </c>
      <c r="X4" s="176">
        <f>S4*(1+'Pricing Policies'!$C$6/100)*'Pricing Policies'!$E$4*IF($C4="TRF",1,(1+Markups!$B$4/100))</f>
        <v>0</v>
      </c>
      <c r="Y4" s="176">
        <f>S4*(1+'Pricing Policies'!$C$6/100)*'Pricing Policies'!$F$4*IF($C4="TRF",1,(1+Markups!$B$4/100))</f>
        <v>0</v>
      </c>
      <c r="Z4" s="176">
        <f>S4*(1+'Pricing Policies'!$C$7/100)*'Pricing Policies'!$D$4*IF($C4="TRF",1,(1+Markups!$B$4/100))</f>
        <v>0</v>
      </c>
      <c r="AA4" s="176">
        <f>S4*(1+'Pricing Policies'!$C$7/100)*'Pricing Policies'!$E$4*IF($C4="TRF",1,(1+Markups!$B$4/100))</f>
        <v>0</v>
      </c>
      <c r="AB4" s="176">
        <f>S4*(1+'Pricing Policies'!$C$7/100)*'Pricing Policies'!$F$4*IF($C4="TRF",1,(1+Markups!$B$4/100))</f>
        <v>0</v>
      </c>
      <c r="AC4" s="73">
        <f>AC$2</f>
        <v>2</v>
      </c>
      <c r="AD4" s="177">
        <f t="shared" ref="AD4:AD54" si="3">AC4*K4</f>
        <v>0</v>
      </c>
      <c r="AE4" s="178">
        <f>AD4*(1+'Pricing Policies'!$C$12/100)*'Pricing Policies'!$D$11</f>
        <v>0</v>
      </c>
      <c r="AF4" s="178">
        <f>AD4*(1+'Pricing Policies'!$C$12/100)*'Pricing Policies'!$E$11</f>
        <v>0</v>
      </c>
      <c r="AG4" s="178">
        <f>AD4*(1+'Pricing Policies'!$C$12/100)*'Pricing Policies'!$F$11</f>
        <v>0</v>
      </c>
      <c r="AH4" s="178">
        <f>AD4*(1+'Pricing Policies'!$C$13/100)*'Pricing Policies'!$D$11</f>
        <v>0</v>
      </c>
      <c r="AI4" s="178">
        <f>AD4*(1+'Pricing Policies'!$C$13/100)*'Pricing Policies'!$E$11</f>
        <v>0</v>
      </c>
      <c r="AJ4" s="178">
        <f>AD4*(1+'Pricing Policies'!$C$13/100)*'Pricing Policies'!$F$11</f>
        <v>0</v>
      </c>
      <c r="AK4" s="178">
        <f>AD4*(1+'Pricing Policies'!$C$14/100)*'Pricing Policies'!$D$11</f>
        <v>0</v>
      </c>
      <c r="AL4" s="178">
        <f>AD4*(1+'Pricing Policies'!$C$14/100)*'Pricing Policies'!$E$11</f>
        <v>0</v>
      </c>
      <c r="AM4" s="178">
        <f>AD4*(1+'Pricing Policies'!$C$14/100)*'Pricing Policies'!$F$11</f>
        <v>0</v>
      </c>
      <c r="AN4" s="178">
        <f t="shared" ref="AN4:AN54" si="4">(T$2*T4+U$2*U4+V$2*V4+W$2*W4+X$2*X4+Y$2*Y4+Z$2*Z4+AA$2*AA4+AB$2*AB4)</f>
        <v>0</v>
      </c>
      <c r="AO4" s="178">
        <f t="shared" ref="AO4:AO54" si="5">(AE$2*AE4+AF$2*AF4+AG$2*AG4+AH$2*AH4+AI$2*AI4+AJ$2*AJ4+AK$2*AK4+AL$2*AL4+AM$2*AM4)</f>
        <v>0</v>
      </c>
      <c r="AP4" s="178"/>
      <c r="AQ4" s="179">
        <f>AN4+AO4</f>
        <v>0</v>
      </c>
      <c r="AR4" s="166">
        <f t="shared" ref="AR4:AR54" si="6">AR$2</f>
        <v>0.1</v>
      </c>
      <c r="AS4" s="176">
        <f t="shared" ref="AS4:AS54" si="7">AQ4*AR4</f>
        <v>0</v>
      </c>
      <c r="AT4" s="166">
        <f t="shared" ref="AT4:AT54" si="8">AT$2</f>
        <v>0.05</v>
      </c>
      <c r="AU4" s="176">
        <f t="shared" ref="AU4:AU54" si="9">(AQ4+AS4)*AT4</f>
        <v>0</v>
      </c>
      <c r="AV4" s="176"/>
      <c r="AW4" s="180">
        <f>AQ4+AS4+AU4</f>
        <v>0</v>
      </c>
      <c r="AX4" s="176">
        <f t="shared" ref="AX4:AX54" si="10">AW4-AU4-AS4-AD4</f>
        <v>0</v>
      </c>
      <c r="AY4" s="181">
        <f t="shared" ref="AY4:AY54" si="11">AX4*AY$2</f>
        <v>0</v>
      </c>
      <c r="AZ4" s="182" t="str">
        <f t="shared" ref="AZ4:AZ54" si="12">AY4/D4</f>
        <v>#DIV/0!</v>
      </c>
    </row>
    <row r="5">
      <c r="A5" s="140" t="str">
        <f t="shared" ref="A5:A45" si="13"> CONCATENATE(B5, " - ",C5)</f>
        <v>Chianti Classico - TOUR HD</v>
      </c>
      <c r="B5" s="140" t="s">
        <v>416</v>
      </c>
      <c r="C5" s="141" t="s">
        <v>92</v>
      </c>
      <c r="D5" s="142">
        <v>5.0</v>
      </c>
      <c r="E5" s="142">
        <v>150.0</v>
      </c>
      <c r="F5" s="143">
        <v>0.0</v>
      </c>
      <c r="G5" s="143">
        <v>50.0</v>
      </c>
      <c r="H5" s="143">
        <v>20.0</v>
      </c>
      <c r="I5" s="143">
        <v>0.0</v>
      </c>
      <c r="J5" s="143">
        <v>0.0</v>
      </c>
      <c r="K5" s="144">
        <f t="shared" si="1"/>
        <v>70</v>
      </c>
      <c r="M5" s="173">
        <f>(E5)*'Base Operating Costs'!$B$13</f>
        <v>28.5</v>
      </c>
      <c r="N5" s="173">
        <f>(E5)*'Base Operating Costs'!$B$14</f>
        <v>21.10758197</v>
      </c>
      <c r="O5" s="173">
        <f>'Base Operating Costs'!$B$15*(E5)</f>
        <v>24.15028125</v>
      </c>
      <c r="P5" s="173">
        <f>D5*'Base Operating Costs'!$B$4</f>
        <v>110</v>
      </c>
      <c r="Q5" s="174">
        <f t="shared" si="2"/>
        <v>0</v>
      </c>
      <c r="R5" s="174">
        <f t="shared" ref="R5:R45" si="14">M5+N5+O5+P5+Q5</f>
        <v>183.7578632</v>
      </c>
      <c r="S5" s="175">
        <f t="shared" ref="S5:S45" si="15">R5*((100+O$2*EXP(-1*E5/P$2))/100)*IF(E5&lt;M$2,1,(1-(N$2/100)))</f>
        <v>191.6243154</v>
      </c>
      <c r="T5" s="176">
        <f>S5*(1+'Pricing Policies'!$C$5/100)*'Pricing Policies'!$D$4*IF($C5="TRF",1,(1+Markups!$B$4/100))</f>
        <v>276.8971357</v>
      </c>
      <c r="U5" s="176">
        <f>S5*(1+'Pricing Policies'!$C$5/100)*'Pricing Policies'!$E$4*IF($C5="TRF",1,(1+Markups!$B$4/100))</f>
        <v>325.7613361</v>
      </c>
      <c r="V5" s="176">
        <f>S5*(1+'Pricing Policies'!$C$5/100)*'Pricing Policies'!$F$4*IF($C5="TRF",1,(1+Markups!$B$4/100))</f>
        <v>390.9136033</v>
      </c>
      <c r="W5" s="176">
        <f>S5*(1+'Pricing Policies'!$C$6/100)*'Pricing Policies'!$D$4*IF($C5="TRF",1,(1+Markups!$B$4/100))</f>
        <v>295.2212109</v>
      </c>
      <c r="X5" s="176">
        <f>S5*(1+'Pricing Policies'!$C$6/100)*'Pricing Policies'!$E$4*IF($C5="TRF",1,(1+Markups!$B$4/100))</f>
        <v>347.3190716</v>
      </c>
      <c r="Y5" s="176">
        <f>S5*(1+'Pricing Policies'!$C$6/100)*'Pricing Policies'!$F$4*IF($C5="TRF",1,(1+Markups!$B$4/100))</f>
        <v>416.7828859</v>
      </c>
      <c r="Z5" s="176">
        <f>S5*(1+'Pricing Policies'!$C$7/100)*'Pricing Policies'!$D$4*IF($C5="TRF",1,(1+Markups!$B$4/100))</f>
        <v>322.7073236</v>
      </c>
      <c r="AA5" s="176">
        <f>S5*(1+'Pricing Policies'!$C$7/100)*'Pricing Policies'!$E$4*IF($C5="TRF",1,(1+Markups!$B$4/100))</f>
        <v>379.6556748</v>
      </c>
      <c r="AB5" s="176">
        <f>S5*(1+'Pricing Policies'!$C$7/100)*'Pricing Policies'!$F$4*IF($C5="TRF",1,(1+Markups!$B$4/100))</f>
        <v>455.5868098</v>
      </c>
      <c r="AC5" s="73">
        <v>0.0</v>
      </c>
      <c r="AD5" s="177">
        <f t="shared" si="3"/>
        <v>0</v>
      </c>
      <c r="AE5" s="178">
        <f>AD5*(1+'Pricing Policies'!$C$12/100)*'Pricing Policies'!$D$11</f>
        <v>0</v>
      </c>
      <c r="AF5" s="178">
        <f>AD5*(1+'Pricing Policies'!$C$12/100)*'Pricing Policies'!$E$11</f>
        <v>0</v>
      </c>
      <c r="AG5" s="178">
        <f>AD5*(1+'Pricing Policies'!$C$12/100)*'Pricing Policies'!$F$11</f>
        <v>0</v>
      </c>
      <c r="AH5" s="178">
        <f>AD5*(1+'Pricing Policies'!$C$13/100)*'Pricing Policies'!$D$11</f>
        <v>0</v>
      </c>
      <c r="AI5" s="178">
        <f>AD5*(1+'Pricing Policies'!$C$13/100)*'Pricing Policies'!$E$11</f>
        <v>0</v>
      </c>
      <c r="AJ5" s="178">
        <f>AD5*(1+'Pricing Policies'!$C$13/100)*'Pricing Policies'!$F$11</f>
        <v>0</v>
      </c>
      <c r="AK5" s="178">
        <f>AD5*(1+'Pricing Policies'!$C$14/100)*'Pricing Policies'!$D$11</f>
        <v>0</v>
      </c>
      <c r="AL5" s="178">
        <f>AD5*(1+'Pricing Policies'!$C$14/100)*'Pricing Policies'!$E$11</f>
        <v>0</v>
      </c>
      <c r="AM5" s="178">
        <f>AD5*(1+'Pricing Policies'!$C$14/100)*'Pricing Policies'!$F$11</f>
        <v>0</v>
      </c>
      <c r="AN5" s="178">
        <f t="shared" si="4"/>
        <v>325.7613361</v>
      </c>
      <c r="AO5" s="178">
        <f t="shared" si="5"/>
        <v>0</v>
      </c>
      <c r="AP5" s="178">
        <f t="shared" ref="AP5:AP45" si="16">AN5+AO5</f>
        <v>325.7613361</v>
      </c>
      <c r="AQ5" s="179">
        <f t="shared" ref="AQ5:AQ45" si="17">CEILING(AP5,5)</f>
        <v>330</v>
      </c>
      <c r="AR5" s="166">
        <f t="shared" si="6"/>
        <v>0.1</v>
      </c>
      <c r="AS5" s="176">
        <f t="shared" si="7"/>
        <v>33</v>
      </c>
      <c r="AT5" s="166">
        <f t="shared" si="8"/>
        <v>0.05</v>
      </c>
      <c r="AU5" s="176">
        <f t="shared" si="9"/>
        <v>18.15</v>
      </c>
      <c r="AV5" s="176">
        <f t="shared" ref="AV5:AV45" si="18">AQ5+AS5+AU5</f>
        <v>381.15</v>
      </c>
      <c r="AW5" s="180">
        <f t="shared" ref="AW5:AW45" si="19">CEILING(AV5,5)</f>
        <v>385</v>
      </c>
      <c r="AX5" s="176">
        <f t="shared" si="10"/>
        <v>333.85</v>
      </c>
      <c r="AY5" s="181">
        <f t="shared" si="11"/>
        <v>83.4625</v>
      </c>
      <c r="AZ5" s="182">
        <f t="shared" si="12"/>
        <v>16.6925</v>
      </c>
      <c r="BA5" s="182">
        <f t="shared" ref="BA5:BA45" si="20">IF(AZ5&lt;BD$9,BD$9,IF(AZ5&gt;BD$10,BD$10,AZ5))</f>
        <v>16.6925</v>
      </c>
      <c r="BC5" s="170" t="s">
        <v>495</v>
      </c>
      <c r="BD5" s="171">
        <f>AVERAGE(BA5:BA45)</f>
        <v>19.11005366</v>
      </c>
    </row>
    <row r="6">
      <c r="A6" s="145" t="str">
        <f t="shared" si="13"/>
        <v>Montalcino - TOUR HD</v>
      </c>
      <c r="B6" s="145" t="s">
        <v>417</v>
      </c>
      <c r="C6" s="141" t="s">
        <v>92</v>
      </c>
      <c r="D6" s="146">
        <v>5.0</v>
      </c>
      <c r="E6" s="146">
        <v>150.0</v>
      </c>
      <c r="F6" s="111">
        <v>0.0</v>
      </c>
      <c r="G6" s="111">
        <v>50.0</v>
      </c>
      <c r="H6" s="111">
        <v>20.0</v>
      </c>
      <c r="I6" s="111">
        <v>0.0</v>
      </c>
      <c r="J6" s="111">
        <v>0.0</v>
      </c>
      <c r="K6" s="147">
        <f t="shared" si="1"/>
        <v>70</v>
      </c>
      <c r="M6" s="173">
        <f>(E6)*'Base Operating Costs'!$B$13</f>
        <v>28.5</v>
      </c>
      <c r="N6" s="173">
        <f>(E6)*'Base Operating Costs'!$B$14</f>
        <v>21.10758197</v>
      </c>
      <c r="O6" s="173">
        <f>'Base Operating Costs'!$B$15*(E6)</f>
        <v>24.15028125</v>
      </c>
      <c r="P6" s="173">
        <f>D6*'Base Operating Costs'!$B$4</f>
        <v>110</v>
      </c>
      <c r="Q6" s="174">
        <f t="shared" si="2"/>
        <v>0</v>
      </c>
      <c r="R6" s="174">
        <f t="shared" si="14"/>
        <v>183.7578632</v>
      </c>
      <c r="S6" s="175">
        <f t="shared" si="15"/>
        <v>191.6243154</v>
      </c>
      <c r="T6" s="176">
        <f>S6*(1+'Pricing Policies'!$C$5/100)*'Pricing Policies'!$D$4*IF($C6="TRF",1,(1+Markups!$B$4/100))</f>
        <v>276.8971357</v>
      </c>
      <c r="U6" s="176">
        <f>S6*(1+'Pricing Policies'!$C$5/100)*'Pricing Policies'!$E$4*IF($C6="TRF",1,(1+Markups!$B$4/100))</f>
        <v>325.7613361</v>
      </c>
      <c r="V6" s="176">
        <f>S6*(1+'Pricing Policies'!$C$5/100)*'Pricing Policies'!$F$4*IF($C6="TRF",1,(1+Markups!$B$4/100))</f>
        <v>390.9136033</v>
      </c>
      <c r="W6" s="176">
        <f>S6*(1+'Pricing Policies'!$C$6/100)*'Pricing Policies'!$D$4*IF($C6="TRF",1,(1+Markups!$B$4/100))</f>
        <v>295.2212109</v>
      </c>
      <c r="X6" s="176">
        <f>S6*(1+'Pricing Policies'!$C$6/100)*'Pricing Policies'!$E$4*IF($C6="TRF",1,(1+Markups!$B$4/100))</f>
        <v>347.3190716</v>
      </c>
      <c r="Y6" s="176">
        <f>S6*(1+'Pricing Policies'!$C$6/100)*'Pricing Policies'!$F$4*IF($C6="TRF",1,(1+Markups!$B$4/100))</f>
        <v>416.7828859</v>
      </c>
      <c r="Z6" s="176">
        <f>S6*(1+'Pricing Policies'!$C$7/100)*'Pricing Policies'!$D$4*IF($C6="TRF",1,(1+Markups!$B$4/100))</f>
        <v>322.7073236</v>
      </c>
      <c r="AA6" s="176">
        <f>S6*(1+'Pricing Policies'!$C$7/100)*'Pricing Policies'!$E$4*IF($C6="TRF",1,(1+Markups!$B$4/100))</f>
        <v>379.6556748</v>
      </c>
      <c r="AB6" s="176">
        <f>S6*(1+'Pricing Policies'!$C$7/100)*'Pricing Policies'!$F$4*IF($C6="TRF",1,(1+Markups!$B$4/100))</f>
        <v>455.5868098</v>
      </c>
      <c r="AC6" s="73">
        <f t="shared" ref="AC6:AC54" si="21">AC$2</f>
        <v>2</v>
      </c>
      <c r="AD6" s="177">
        <f t="shared" si="3"/>
        <v>140</v>
      </c>
      <c r="AE6" s="178">
        <f>AD6*(1+'Pricing Policies'!$C$12/100)*'Pricing Policies'!$D$11</f>
        <v>147</v>
      </c>
      <c r="AF6" s="178">
        <f>AD6*(1+'Pricing Policies'!$C$12/100)*'Pricing Policies'!$E$11</f>
        <v>161.7</v>
      </c>
      <c r="AG6" s="178">
        <f>AD6*(1+'Pricing Policies'!$C$12/100)*'Pricing Policies'!$F$11</f>
        <v>176.4</v>
      </c>
      <c r="AH6" s="178">
        <f>AD6*(1+'Pricing Policies'!$C$13/100)*'Pricing Policies'!$D$11</f>
        <v>154</v>
      </c>
      <c r="AI6" s="178">
        <f>AD6*(1+'Pricing Policies'!$C$13/100)*'Pricing Policies'!$E$11</f>
        <v>169.4</v>
      </c>
      <c r="AJ6" s="178">
        <f>AD6*(1+'Pricing Policies'!$C$13/100)*'Pricing Policies'!$F$11</f>
        <v>184.8</v>
      </c>
      <c r="AK6" s="178">
        <f>AD6*(1+'Pricing Policies'!$C$14/100)*'Pricing Policies'!$D$11</f>
        <v>163.8</v>
      </c>
      <c r="AL6" s="178">
        <f>AD6*(1+'Pricing Policies'!$C$14/100)*'Pricing Policies'!$E$11</f>
        <v>180.18</v>
      </c>
      <c r="AM6" s="178">
        <f>AD6*(1+'Pricing Policies'!$C$14/100)*'Pricing Policies'!$F$11</f>
        <v>196.56</v>
      </c>
      <c r="AN6" s="178">
        <f t="shared" si="4"/>
        <v>325.7613361</v>
      </c>
      <c r="AO6" s="178">
        <f t="shared" si="5"/>
        <v>161.7</v>
      </c>
      <c r="AP6" s="178">
        <f t="shared" si="16"/>
        <v>487.4613361</v>
      </c>
      <c r="AQ6" s="179">
        <f t="shared" si="17"/>
        <v>490</v>
      </c>
      <c r="AR6" s="166">
        <f t="shared" si="6"/>
        <v>0.1</v>
      </c>
      <c r="AS6" s="176">
        <f t="shared" si="7"/>
        <v>49</v>
      </c>
      <c r="AT6" s="166">
        <f t="shared" si="8"/>
        <v>0.05</v>
      </c>
      <c r="AU6" s="176">
        <f t="shared" si="9"/>
        <v>26.95</v>
      </c>
      <c r="AV6" s="176">
        <f t="shared" si="18"/>
        <v>565.95</v>
      </c>
      <c r="AW6" s="180">
        <f t="shared" si="19"/>
        <v>570</v>
      </c>
      <c r="AX6" s="176">
        <f t="shared" si="10"/>
        <v>354.05</v>
      </c>
      <c r="AY6" s="181">
        <f t="shared" si="11"/>
        <v>88.5125</v>
      </c>
      <c r="AZ6" s="182">
        <f t="shared" si="12"/>
        <v>17.7025</v>
      </c>
      <c r="BA6" s="182">
        <f t="shared" si="20"/>
        <v>17.7025</v>
      </c>
      <c r="BC6" s="170" t="s">
        <v>496</v>
      </c>
      <c r="BD6" s="171">
        <f>MIN(AZ5:AZ45)</f>
        <v>15.40972222</v>
      </c>
    </row>
    <row r="7">
      <c r="A7" s="148" t="str">
        <f t="shared" si="13"/>
        <v>Monteriggioni-SanGi - TOUR HD</v>
      </c>
      <c r="B7" s="148" t="s">
        <v>418</v>
      </c>
      <c r="C7" s="141" t="s">
        <v>92</v>
      </c>
      <c r="D7" s="149">
        <v>5.0</v>
      </c>
      <c r="E7" s="149">
        <v>150.0</v>
      </c>
      <c r="F7" s="150">
        <v>0.0</v>
      </c>
      <c r="G7" s="150"/>
      <c r="H7" s="150"/>
      <c r="I7" s="150"/>
      <c r="J7" s="150"/>
      <c r="K7" s="151"/>
      <c r="M7" s="173">
        <f>(E7)*'Base Operating Costs'!$B$13</f>
        <v>28.5</v>
      </c>
      <c r="N7" s="173">
        <f>(E7)*'Base Operating Costs'!$B$14</f>
        <v>21.10758197</v>
      </c>
      <c r="O7" s="173">
        <f>'Base Operating Costs'!$B$15*(E7)</f>
        <v>24.15028125</v>
      </c>
      <c r="P7" s="173">
        <f>D7*'Base Operating Costs'!$B$4</f>
        <v>110</v>
      </c>
      <c r="Q7" s="174">
        <f t="shared" si="2"/>
        <v>0</v>
      </c>
      <c r="R7" s="174">
        <f t="shared" si="14"/>
        <v>183.7578632</v>
      </c>
      <c r="S7" s="175">
        <f t="shared" si="15"/>
        <v>191.6243154</v>
      </c>
      <c r="T7" s="176">
        <f>S7*(1+'Pricing Policies'!$C$5/100)*'Pricing Policies'!$D$4*IF($C7="TRF",1,(1+Markups!$B$4/100))</f>
        <v>276.8971357</v>
      </c>
      <c r="U7" s="176">
        <f>S7*(1+'Pricing Policies'!$C$5/100)*'Pricing Policies'!$E$4*IF($C7="TRF",1,(1+Markups!$B$4/100))</f>
        <v>325.7613361</v>
      </c>
      <c r="V7" s="176">
        <f>S7*(1+'Pricing Policies'!$C$5/100)*'Pricing Policies'!$F$4*IF($C7="TRF",1,(1+Markups!$B$4/100))</f>
        <v>390.9136033</v>
      </c>
      <c r="W7" s="176">
        <f>S7*(1+'Pricing Policies'!$C$6/100)*'Pricing Policies'!$D$4*IF($C7="TRF",1,(1+Markups!$B$4/100))</f>
        <v>295.2212109</v>
      </c>
      <c r="X7" s="176">
        <f>S7*(1+'Pricing Policies'!$C$6/100)*'Pricing Policies'!$E$4*IF($C7="TRF",1,(1+Markups!$B$4/100))</f>
        <v>347.3190716</v>
      </c>
      <c r="Y7" s="176">
        <f>S7*(1+'Pricing Policies'!$C$6/100)*'Pricing Policies'!$F$4*IF($C7="TRF",1,(1+Markups!$B$4/100))</f>
        <v>416.7828859</v>
      </c>
      <c r="Z7" s="176">
        <f>S7*(1+'Pricing Policies'!$C$7/100)*'Pricing Policies'!$D$4*IF($C7="TRF",1,(1+Markups!$B$4/100))</f>
        <v>322.7073236</v>
      </c>
      <c r="AA7" s="176">
        <f>S7*(1+'Pricing Policies'!$C$7/100)*'Pricing Policies'!$E$4*IF($C7="TRF",1,(1+Markups!$B$4/100))</f>
        <v>379.6556748</v>
      </c>
      <c r="AB7" s="176">
        <f>S7*(1+'Pricing Policies'!$C$7/100)*'Pricing Policies'!$F$4*IF($C7="TRF",1,(1+Markups!$B$4/100))</f>
        <v>455.5868098</v>
      </c>
      <c r="AC7" s="73">
        <f t="shared" si="21"/>
        <v>2</v>
      </c>
      <c r="AD7" s="177">
        <f t="shared" si="3"/>
        <v>0</v>
      </c>
      <c r="AE7" s="178">
        <f>AD7*(1+'Pricing Policies'!$C$12/100)*'Pricing Policies'!$D$11</f>
        <v>0</v>
      </c>
      <c r="AF7" s="178">
        <f>AD7*(1+'Pricing Policies'!$C$12/100)*'Pricing Policies'!$E$11</f>
        <v>0</v>
      </c>
      <c r="AG7" s="178">
        <f>AD7*(1+'Pricing Policies'!$C$12/100)*'Pricing Policies'!$F$11</f>
        <v>0</v>
      </c>
      <c r="AH7" s="178">
        <f>AD7*(1+'Pricing Policies'!$C$13/100)*'Pricing Policies'!$D$11</f>
        <v>0</v>
      </c>
      <c r="AI7" s="178">
        <f>AD7*(1+'Pricing Policies'!$C$13/100)*'Pricing Policies'!$E$11</f>
        <v>0</v>
      </c>
      <c r="AJ7" s="178">
        <f>AD7*(1+'Pricing Policies'!$C$13/100)*'Pricing Policies'!$F$11</f>
        <v>0</v>
      </c>
      <c r="AK7" s="178">
        <f>AD7*(1+'Pricing Policies'!$C$14/100)*'Pricing Policies'!$D$11</f>
        <v>0</v>
      </c>
      <c r="AL7" s="178">
        <f>AD7*(1+'Pricing Policies'!$C$14/100)*'Pricing Policies'!$E$11</f>
        <v>0</v>
      </c>
      <c r="AM7" s="178">
        <f>AD7*(1+'Pricing Policies'!$C$14/100)*'Pricing Policies'!$F$11</f>
        <v>0</v>
      </c>
      <c r="AN7" s="178">
        <f t="shared" si="4"/>
        <v>325.7613361</v>
      </c>
      <c r="AO7" s="178">
        <f t="shared" si="5"/>
        <v>0</v>
      </c>
      <c r="AP7" s="178">
        <f t="shared" si="16"/>
        <v>325.7613361</v>
      </c>
      <c r="AQ7" s="179">
        <f t="shared" si="17"/>
        <v>330</v>
      </c>
      <c r="AR7" s="166">
        <f t="shared" si="6"/>
        <v>0.1</v>
      </c>
      <c r="AS7" s="176">
        <f t="shared" si="7"/>
        <v>33</v>
      </c>
      <c r="AT7" s="166">
        <f t="shared" si="8"/>
        <v>0.05</v>
      </c>
      <c r="AU7" s="176">
        <f t="shared" si="9"/>
        <v>18.15</v>
      </c>
      <c r="AV7" s="176">
        <f t="shared" si="18"/>
        <v>381.15</v>
      </c>
      <c r="AW7" s="180">
        <f t="shared" si="19"/>
        <v>385</v>
      </c>
      <c r="AX7" s="176">
        <f t="shared" si="10"/>
        <v>333.85</v>
      </c>
      <c r="AY7" s="181">
        <f t="shared" si="11"/>
        <v>83.4625</v>
      </c>
      <c r="AZ7" s="182">
        <f t="shared" si="12"/>
        <v>16.6925</v>
      </c>
      <c r="BA7" s="182">
        <f t="shared" si="20"/>
        <v>16.6925</v>
      </c>
      <c r="BC7" s="170" t="s">
        <v>497</v>
      </c>
      <c r="BD7" s="171">
        <f>MAX(AZ5:AZ45)</f>
        <v>29.29375</v>
      </c>
    </row>
    <row r="8">
      <c r="A8" s="140" t="str">
        <f t="shared" si="13"/>
        <v>Modena - TOUR FD+</v>
      </c>
      <c r="B8" s="140" t="s">
        <v>419</v>
      </c>
      <c r="C8" s="141" t="s">
        <v>69</v>
      </c>
      <c r="D8" s="142">
        <v>10.0</v>
      </c>
      <c r="E8" s="142">
        <v>400.0</v>
      </c>
      <c r="F8" s="143">
        <v>20.0</v>
      </c>
      <c r="G8" s="143"/>
      <c r="H8" s="143"/>
      <c r="I8" s="143"/>
      <c r="J8" s="143"/>
      <c r="K8" s="144"/>
      <c r="M8" s="173">
        <f>(E8)*'Base Operating Costs'!$B$13</f>
        <v>76</v>
      </c>
      <c r="N8" s="173">
        <f>(E8)*'Base Operating Costs'!$B$14</f>
        <v>56.28688525</v>
      </c>
      <c r="O8" s="173">
        <f>'Base Operating Costs'!$B$15*(E8)</f>
        <v>64.40075</v>
      </c>
      <c r="P8" s="173">
        <f>D8*'Base Operating Costs'!$B$4</f>
        <v>220</v>
      </c>
      <c r="Q8" s="174">
        <f t="shared" si="2"/>
        <v>20</v>
      </c>
      <c r="R8" s="174">
        <f t="shared" si="14"/>
        <v>436.6876352</v>
      </c>
      <c r="S8" s="175">
        <f t="shared" si="15"/>
        <v>436.759905</v>
      </c>
      <c r="T8" s="176">
        <f>S8*(1+'Pricing Policies'!$C$5/100)*'Pricing Policies'!$D$4*IF($C8="TRF",1,(1+Markups!$B$4/100))</f>
        <v>631.1180628</v>
      </c>
      <c r="U8" s="176">
        <f>S8*(1+'Pricing Policies'!$C$5/100)*'Pricing Policies'!$E$4*IF($C8="TRF",1,(1+Markups!$B$4/100))</f>
        <v>742.4918385</v>
      </c>
      <c r="V8" s="176">
        <f>S8*(1+'Pricing Policies'!$C$5/100)*'Pricing Policies'!$F$4*IF($C8="TRF",1,(1+Markups!$B$4/100))</f>
        <v>890.9902063</v>
      </c>
      <c r="W8" s="176">
        <f>S8*(1+'Pricing Policies'!$C$6/100)*'Pricing Policies'!$D$4*IF($C8="TRF",1,(1+Markups!$B$4/100))</f>
        <v>672.8832287</v>
      </c>
      <c r="X8" s="176">
        <f>S8*(1+'Pricing Policies'!$C$6/100)*'Pricing Policies'!$E$4*IF($C8="TRF",1,(1+Markups!$B$4/100))</f>
        <v>791.6273279</v>
      </c>
      <c r="Y8" s="176">
        <f>S8*(1+'Pricing Policies'!$C$6/100)*'Pricing Policies'!$F$4*IF($C8="TRF",1,(1+Markups!$B$4/100))</f>
        <v>949.9527934</v>
      </c>
      <c r="Z8" s="176">
        <f>S8*(1+'Pricing Policies'!$C$7/100)*'Pricing Policies'!$D$4*IF($C8="TRF",1,(1+Markups!$B$4/100))</f>
        <v>735.5309776</v>
      </c>
      <c r="AA8" s="176">
        <f>S8*(1+'Pricing Policies'!$C$7/100)*'Pricing Policies'!$E$4*IF($C8="TRF",1,(1+Markups!$B$4/100))</f>
        <v>865.3305618</v>
      </c>
      <c r="AB8" s="176">
        <f>S8*(1+'Pricing Policies'!$C$7/100)*'Pricing Policies'!$F$4*IF($C8="TRF",1,(1+Markups!$B$4/100))</f>
        <v>1038.396674</v>
      </c>
      <c r="AC8" s="73">
        <f t="shared" si="21"/>
        <v>2</v>
      </c>
      <c r="AD8" s="177">
        <f t="shared" si="3"/>
        <v>0</v>
      </c>
      <c r="AE8" s="178">
        <f>AD8*(1+'Pricing Policies'!$C$12/100)*'Pricing Policies'!$D$11</f>
        <v>0</v>
      </c>
      <c r="AF8" s="178">
        <f>AD8*(1+'Pricing Policies'!$C$12/100)*'Pricing Policies'!$E$11</f>
        <v>0</v>
      </c>
      <c r="AG8" s="178">
        <f>AD8*(1+'Pricing Policies'!$C$12/100)*'Pricing Policies'!$F$11</f>
        <v>0</v>
      </c>
      <c r="AH8" s="178">
        <f>AD8*(1+'Pricing Policies'!$C$13/100)*'Pricing Policies'!$D$11</f>
        <v>0</v>
      </c>
      <c r="AI8" s="178">
        <f>AD8*(1+'Pricing Policies'!$C$13/100)*'Pricing Policies'!$E$11</f>
        <v>0</v>
      </c>
      <c r="AJ8" s="178">
        <f>AD8*(1+'Pricing Policies'!$C$13/100)*'Pricing Policies'!$F$11</f>
        <v>0</v>
      </c>
      <c r="AK8" s="178">
        <f>AD8*(1+'Pricing Policies'!$C$14/100)*'Pricing Policies'!$D$11</f>
        <v>0</v>
      </c>
      <c r="AL8" s="178">
        <f>AD8*(1+'Pricing Policies'!$C$14/100)*'Pricing Policies'!$E$11</f>
        <v>0</v>
      </c>
      <c r="AM8" s="178">
        <f>AD8*(1+'Pricing Policies'!$C$14/100)*'Pricing Policies'!$F$11</f>
        <v>0</v>
      </c>
      <c r="AN8" s="178">
        <f t="shared" si="4"/>
        <v>742.4918385</v>
      </c>
      <c r="AO8" s="178">
        <f t="shared" si="5"/>
        <v>0</v>
      </c>
      <c r="AP8" s="178">
        <f t="shared" si="16"/>
        <v>742.4918385</v>
      </c>
      <c r="AQ8" s="179">
        <f t="shared" si="17"/>
        <v>745</v>
      </c>
      <c r="AR8" s="166">
        <f t="shared" si="6"/>
        <v>0.1</v>
      </c>
      <c r="AS8" s="176">
        <f t="shared" si="7"/>
        <v>74.5</v>
      </c>
      <c r="AT8" s="166">
        <f t="shared" si="8"/>
        <v>0.05</v>
      </c>
      <c r="AU8" s="176">
        <f t="shared" si="9"/>
        <v>40.975</v>
      </c>
      <c r="AV8" s="176">
        <f t="shared" si="18"/>
        <v>860.475</v>
      </c>
      <c r="AW8" s="180">
        <f t="shared" si="19"/>
        <v>865</v>
      </c>
      <c r="AX8" s="176">
        <f t="shared" si="10"/>
        <v>749.525</v>
      </c>
      <c r="AY8" s="181">
        <f t="shared" si="11"/>
        <v>187.38125</v>
      </c>
      <c r="AZ8" s="182">
        <f t="shared" si="12"/>
        <v>18.738125</v>
      </c>
      <c r="BA8" s="182">
        <f t="shared" si="20"/>
        <v>18.738125</v>
      </c>
    </row>
    <row r="9">
      <c r="A9" s="145" t="str">
        <f t="shared" si="13"/>
        <v>Bolgheri - TOUR FD+</v>
      </c>
      <c r="B9" s="145" t="s">
        <v>420</v>
      </c>
      <c r="C9" s="141" t="s">
        <v>69</v>
      </c>
      <c r="D9" s="146">
        <v>10.0</v>
      </c>
      <c r="E9" s="146">
        <v>400.0</v>
      </c>
      <c r="F9" s="111">
        <v>0.0</v>
      </c>
      <c r="G9" s="111"/>
      <c r="H9" s="111"/>
      <c r="I9" s="111"/>
      <c r="J9" s="111"/>
      <c r="K9" s="147"/>
      <c r="M9" s="173">
        <f>(E9)*'Base Operating Costs'!$B$13</f>
        <v>76</v>
      </c>
      <c r="N9" s="173">
        <f>(E9)*'Base Operating Costs'!$B$14</f>
        <v>56.28688525</v>
      </c>
      <c r="O9" s="173">
        <f>'Base Operating Costs'!$B$15*(E9)</f>
        <v>64.40075</v>
      </c>
      <c r="P9" s="173">
        <f>D9*'Base Operating Costs'!$B$4</f>
        <v>220</v>
      </c>
      <c r="Q9" s="174">
        <f t="shared" si="2"/>
        <v>0</v>
      </c>
      <c r="R9" s="174">
        <f t="shared" si="14"/>
        <v>416.6876352</v>
      </c>
      <c r="S9" s="175">
        <f t="shared" si="15"/>
        <v>416.7565951</v>
      </c>
      <c r="T9" s="176">
        <f>S9*(1+'Pricing Policies'!$C$5/100)*'Pricing Policies'!$D$4*IF($C9="TRF",1,(1+Markups!$B$4/100))</f>
        <v>602.2132799</v>
      </c>
      <c r="U9" s="176">
        <f>S9*(1+'Pricing Policies'!$C$5/100)*'Pricing Policies'!$E$4*IF($C9="TRF",1,(1+Markups!$B$4/100))</f>
        <v>708.4862117</v>
      </c>
      <c r="V9" s="176">
        <f>S9*(1+'Pricing Policies'!$C$5/100)*'Pricing Policies'!$F$4*IF($C9="TRF",1,(1+Markups!$B$4/100))</f>
        <v>850.183454</v>
      </c>
      <c r="W9" s="176">
        <f>S9*(1+'Pricing Policies'!$C$6/100)*'Pricing Policies'!$D$4*IF($C9="TRF",1,(1+Markups!$B$4/100))</f>
        <v>642.0656294</v>
      </c>
      <c r="X9" s="176">
        <f>S9*(1+'Pricing Policies'!$C$6/100)*'Pricing Policies'!$E$4*IF($C9="TRF",1,(1+Markups!$B$4/100))</f>
        <v>755.3713287</v>
      </c>
      <c r="Y9" s="176">
        <f>S9*(1+'Pricing Policies'!$C$6/100)*'Pricing Policies'!$F$4*IF($C9="TRF",1,(1+Markups!$B$4/100))</f>
        <v>906.4455944</v>
      </c>
      <c r="Z9" s="176">
        <f>S9*(1+'Pricing Policies'!$C$7/100)*'Pricing Policies'!$D$4*IF($C9="TRF",1,(1+Markups!$B$4/100))</f>
        <v>701.8441535</v>
      </c>
      <c r="AA9" s="176">
        <f>S9*(1+'Pricing Policies'!$C$7/100)*'Pricing Policies'!$E$4*IF($C9="TRF",1,(1+Markups!$B$4/100))</f>
        <v>825.6990041</v>
      </c>
      <c r="AB9" s="176">
        <f>S9*(1+'Pricing Policies'!$C$7/100)*'Pricing Policies'!$F$4*IF($C9="TRF",1,(1+Markups!$B$4/100))</f>
        <v>990.8388049</v>
      </c>
      <c r="AC9" s="73">
        <f t="shared" si="21"/>
        <v>2</v>
      </c>
      <c r="AD9" s="177">
        <f t="shared" si="3"/>
        <v>0</v>
      </c>
      <c r="AE9" s="178">
        <f>AD9*(1+'Pricing Policies'!$C$12/100)*'Pricing Policies'!$D$11</f>
        <v>0</v>
      </c>
      <c r="AF9" s="178">
        <f>AD9*(1+'Pricing Policies'!$C$12/100)*'Pricing Policies'!$E$11</f>
        <v>0</v>
      </c>
      <c r="AG9" s="178">
        <f>AD9*(1+'Pricing Policies'!$C$12/100)*'Pricing Policies'!$F$11</f>
        <v>0</v>
      </c>
      <c r="AH9" s="178">
        <f>AD9*(1+'Pricing Policies'!$C$13/100)*'Pricing Policies'!$D$11</f>
        <v>0</v>
      </c>
      <c r="AI9" s="178">
        <f>AD9*(1+'Pricing Policies'!$C$13/100)*'Pricing Policies'!$E$11</f>
        <v>0</v>
      </c>
      <c r="AJ9" s="178">
        <f>AD9*(1+'Pricing Policies'!$C$13/100)*'Pricing Policies'!$F$11</f>
        <v>0</v>
      </c>
      <c r="AK9" s="178">
        <f>AD9*(1+'Pricing Policies'!$C$14/100)*'Pricing Policies'!$D$11</f>
        <v>0</v>
      </c>
      <c r="AL9" s="178">
        <f>AD9*(1+'Pricing Policies'!$C$14/100)*'Pricing Policies'!$E$11</f>
        <v>0</v>
      </c>
      <c r="AM9" s="178">
        <f>AD9*(1+'Pricing Policies'!$C$14/100)*'Pricing Policies'!$F$11</f>
        <v>0</v>
      </c>
      <c r="AN9" s="178">
        <f t="shared" si="4"/>
        <v>708.4862117</v>
      </c>
      <c r="AO9" s="178">
        <f t="shared" si="5"/>
        <v>0</v>
      </c>
      <c r="AP9" s="178">
        <f t="shared" si="16"/>
        <v>708.4862117</v>
      </c>
      <c r="AQ9" s="179">
        <f t="shared" si="17"/>
        <v>710</v>
      </c>
      <c r="AR9" s="166">
        <f t="shared" si="6"/>
        <v>0.1</v>
      </c>
      <c r="AS9" s="176">
        <f t="shared" si="7"/>
        <v>71</v>
      </c>
      <c r="AT9" s="166">
        <f t="shared" si="8"/>
        <v>0.05</v>
      </c>
      <c r="AU9" s="176">
        <f t="shared" si="9"/>
        <v>39.05</v>
      </c>
      <c r="AV9" s="176">
        <f t="shared" si="18"/>
        <v>820.05</v>
      </c>
      <c r="AW9" s="180">
        <f t="shared" si="19"/>
        <v>825</v>
      </c>
      <c r="AX9" s="176">
        <f t="shared" si="10"/>
        <v>714.95</v>
      </c>
      <c r="AY9" s="181">
        <f t="shared" si="11"/>
        <v>178.7375</v>
      </c>
      <c r="AZ9" s="182">
        <f t="shared" si="12"/>
        <v>17.87375</v>
      </c>
      <c r="BA9" s="182">
        <f t="shared" si="20"/>
        <v>17.87375</v>
      </c>
      <c r="BC9" s="170" t="s">
        <v>498</v>
      </c>
      <c r="BD9" s="73">
        <v>15.0</v>
      </c>
    </row>
    <row r="10">
      <c r="A10" s="148" t="str">
        <f t="shared" si="13"/>
        <v>Suvereto - TOUR FD+</v>
      </c>
      <c r="B10" s="148" t="s">
        <v>421</v>
      </c>
      <c r="C10" s="141" t="s">
        <v>69</v>
      </c>
      <c r="D10" s="149">
        <v>10.0</v>
      </c>
      <c r="E10" s="149">
        <v>400.0</v>
      </c>
      <c r="F10" s="150">
        <v>0.0</v>
      </c>
      <c r="G10" s="150"/>
      <c r="H10" s="150"/>
      <c r="I10" s="150"/>
      <c r="J10" s="150"/>
      <c r="K10" s="151"/>
      <c r="M10" s="173">
        <f>(E10)*'Base Operating Costs'!$B$13</f>
        <v>76</v>
      </c>
      <c r="N10" s="173">
        <f>(E10)*'Base Operating Costs'!$B$14</f>
        <v>56.28688525</v>
      </c>
      <c r="O10" s="173">
        <f>'Base Operating Costs'!$B$15*(E10)</f>
        <v>64.40075</v>
      </c>
      <c r="P10" s="173">
        <f>D10*'Base Operating Costs'!$B$4</f>
        <v>220</v>
      </c>
      <c r="Q10" s="174">
        <f t="shared" si="2"/>
        <v>0</v>
      </c>
      <c r="R10" s="174">
        <f t="shared" si="14"/>
        <v>416.6876352</v>
      </c>
      <c r="S10" s="175">
        <f t="shared" si="15"/>
        <v>416.7565951</v>
      </c>
      <c r="T10" s="176">
        <f>S10*(1+'Pricing Policies'!$C$5/100)*'Pricing Policies'!$D$4*IF($C10="TRF",1,(1+Markups!$B$4/100))</f>
        <v>602.2132799</v>
      </c>
      <c r="U10" s="176">
        <f>S10*(1+'Pricing Policies'!$C$5/100)*'Pricing Policies'!$E$4*IF($C10="TRF",1,(1+Markups!$B$4/100))</f>
        <v>708.4862117</v>
      </c>
      <c r="V10" s="176">
        <f>S10*(1+'Pricing Policies'!$C$5/100)*'Pricing Policies'!$F$4*IF($C10="TRF",1,(1+Markups!$B$4/100))</f>
        <v>850.183454</v>
      </c>
      <c r="W10" s="176">
        <f>S10*(1+'Pricing Policies'!$C$6/100)*'Pricing Policies'!$D$4*IF($C10="TRF",1,(1+Markups!$B$4/100))</f>
        <v>642.0656294</v>
      </c>
      <c r="X10" s="176">
        <f>S10*(1+'Pricing Policies'!$C$6/100)*'Pricing Policies'!$E$4*IF($C10="TRF",1,(1+Markups!$B$4/100))</f>
        <v>755.3713287</v>
      </c>
      <c r="Y10" s="176">
        <f>S10*(1+'Pricing Policies'!$C$6/100)*'Pricing Policies'!$F$4*IF($C10="TRF",1,(1+Markups!$B$4/100))</f>
        <v>906.4455944</v>
      </c>
      <c r="Z10" s="176">
        <f>S10*(1+'Pricing Policies'!$C$7/100)*'Pricing Policies'!$D$4*IF($C10="TRF",1,(1+Markups!$B$4/100))</f>
        <v>701.8441535</v>
      </c>
      <c r="AA10" s="176">
        <f>S10*(1+'Pricing Policies'!$C$7/100)*'Pricing Policies'!$E$4*IF($C10="TRF",1,(1+Markups!$B$4/100))</f>
        <v>825.6990041</v>
      </c>
      <c r="AB10" s="176">
        <f>S10*(1+'Pricing Policies'!$C$7/100)*'Pricing Policies'!$F$4*IF($C10="TRF",1,(1+Markups!$B$4/100))</f>
        <v>990.8388049</v>
      </c>
      <c r="AC10" s="73">
        <f t="shared" si="21"/>
        <v>2</v>
      </c>
      <c r="AD10" s="177">
        <f t="shared" si="3"/>
        <v>0</v>
      </c>
      <c r="AE10" s="178">
        <f>AD10*(1+'Pricing Policies'!$C$12/100)*'Pricing Policies'!$D$11</f>
        <v>0</v>
      </c>
      <c r="AF10" s="178">
        <f>AD10*(1+'Pricing Policies'!$C$12/100)*'Pricing Policies'!$E$11</f>
        <v>0</v>
      </c>
      <c r="AG10" s="178">
        <f>AD10*(1+'Pricing Policies'!$C$12/100)*'Pricing Policies'!$F$11</f>
        <v>0</v>
      </c>
      <c r="AH10" s="178">
        <f>AD10*(1+'Pricing Policies'!$C$13/100)*'Pricing Policies'!$D$11</f>
        <v>0</v>
      </c>
      <c r="AI10" s="178">
        <f>AD10*(1+'Pricing Policies'!$C$13/100)*'Pricing Policies'!$E$11</f>
        <v>0</v>
      </c>
      <c r="AJ10" s="178">
        <f>AD10*(1+'Pricing Policies'!$C$13/100)*'Pricing Policies'!$F$11</f>
        <v>0</v>
      </c>
      <c r="AK10" s="178">
        <f>AD10*(1+'Pricing Policies'!$C$14/100)*'Pricing Policies'!$D$11</f>
        <v>0</v>
      </c>
      <c r="AL10" s="178">
        <f>AD10*(1+'Pricing Policies'!$C$14/100)*'Pricing Policies'!$E$11</f>
        <v>0</v>
      </c>
      <c r="AM10" s="178">
        <f>AD10*(1+'Pricing Policies'!$C$14/100)*'Pricing Policies'!$F$11</f>
        <v>0</v>
      </c>
      <c r="AN10" s="178">
        <f t="shared" si="4"/>
        <v>708.4862117</v>
      </c>
      <c r="AO10" s="178">
        <f t="shared" si="5"/>
        <v>0</v>
      </c>
      <c r="AP10" s="178">
        <f t="shared" si="16"/>
        <v>708.4862117</v>
      </c>
      <c r="AQ10" s="179">
        <f t="shared" si="17"/>
        <v>710</v>
      </c>
      <c r="AR10" s="166">
        <f t="shared" si="6"/>
        <v>0.1</v>
      </c>
      <c r="AS10" s="176">
        <f t="shared" si="7"/>
        <v>71</v>
      </c>
      <c r="AT10" s="166">
        <f t="shared" si="8"/>
        <v>0.05</v>
      </c>
      <c r="AU10" s="176">
        <f t="shared" si="9"/>
        <v>39.05</v>
      </c>
      <c r="AV10" s="176">
        <f t="shared" si="18"/>
        <v>820.05</v>
      </c>
      <c r="AW10" s="180">
        <f t="shared" si="19"/>
        <v>825</v>
      </c>
      <c r="AX10" s="176">
        <f t="shared" si="10"/>
        <v>714.95</v>
      </c>
      <c r="AY10" s="181">
        <f t="shared" si="11"/>
        <v>178.7375</v>
      </c>
      <c r="AZ10" s="182">
        <f t="shared" si="12"/>
        <v>17.87375</v>
      </c>
      <c r="BA10" s="182">
        <f t="shared" si="20"/>
        <v>17.87375</v>
      </c>
      <c r="BC10" s="170" t="s">
        <v>499</v>
      </c>
      <c r="BD10" s="73">
        <v>22.0</v>
      </c>
    </row>
    <row r="11">
      <c r="A11" s="140" t="str">
        <f t="shared" si="13"/>
        <v>Chianti Classico - TOUR FD</v>
      </c>
      <c r="B11" s="140" t="s">
        <v>416</v>
      </c>
      <c r="C11" s="141" t="s">
        <v>9</v>
      </c>
      <c r="D11" s="142">
        <v>8.0</v>
      </c>
      <c r="E11" s="142">
        <v>250.0</v>
      </c>
      <c r="F11" s="143">
        <v>0.0</v>
      </c>
      <c r="G11" s="143">
        <v>50.0</v>
      </c>
      <c r="H11" s="143">
        <v>20.0</v>
      </c>
      <c r="I11" s="143">
        <v>0.0</v>
      </c>
      <c r="J11" s="143">
        <v>0.0</v>
      </c>
      <c r="K11" s="144">
        <f t="shared" ref="K11:K12" si="22">SUM(G11:J11)</f>
        <v>70</v>
      </c>
      <c r="M11" s="173">
        <f>(E11)*'Base Operating Costs'!$B$13</f>
        <v>47.5</v>
      </c>
      <c r="N11" s="173">
        <f>(E11)*'Base Operating Costs'!$B$14</f>
        <v>35.17930328</v>
      </c>
      <c r="O11" s="173">
        <f>'Base Operating Costs'!$B$15*(E11)</f>
        <v>40.25046875</v>
      </c>
      <c r="P11" s="173">
        <f>D11*'Base Operating Costs'!$B$4</f>
        <v>176</v>
      </c>
      <c r="Q11" s="174">
        <f t="shared" si="2"/>
        <v>0</v>
      </c>
      <c r="R11" s="174">
        <f t="shared" si="14"/>
        <v>298.929772</v>
      </c>
      <c r="S11" s="175">
        <f t="shared" si="15"/>
        <v>300.3165384</v>
      </c>
      <c r="T11" s="176">
        <f>S11*(1+'Pricing Policies'!$C$5/100)*'Pricing Policies'!$D$4*IF($C11="TRF",1,(1+Markups!$B$4/100))</f>
        <v>433.957398</v>
      </c>
      <c r="U11" s="176">
        <f>S11*(1+'Pricing Policies'!$C$5/100)*'Pricing Policies'!$E$4*IF($C11="TRF",1,(1+Markups!$B$4/100))</f>
        <v>510.5381152</v>
      </c>
      <c r="V11" s="176">
        <f>S11*(1+'Pricing Policies'!$C$5/100)*'Pricing Policies'!$F$4*IF($C11="TRF",1,(1+Markups!$B$4/100))</f>
        <v>612.6457383</v>
      </c>
      <c r="W11" s="176">
        <f>S11*(1+'Pricing Policies'!$C$6/100)*'Pricing Policies'!$D$4*IF($C11="TRF",1,(1+Markups!$B$4/100))</f>
        <v>462.6751669</v>
      </c>
      <c r="X11" s="176">
        <f>S11*(1+'Pricing Policies'!$C$6/100)*'Pricing Policies'!$E$4*IF($C11="TRF",1,(1+Markups!$B$4/100))</f>
        <v>544.3237258</v>
      </c>
      <c r="Y11" s="176">
        <f>S11*(1+'Pricing Policies'!$C$6/100)*'Pricing Policies'!$F$4*IF($C11="TRF",1,(1+Markups!$B$4/100))</f>
        <v>653.188471</v>
      </c>
      <c r="Z11" s="176">
        <f>S11*(1+'Pricing Policies'!$C$7/100)*'Pricing Policies'!$D$4*IF($C11="TRF",1,(1+Markups!$B$4/100))</f>
        <v>505.7518204</v>
      </c>
      <c r="AA11" s="176">
        <f>S11*(1+'Pricing Policies'!$C$7/100)*'Pricing Policies'!$E$4*IF($C11="TRF",1,(1+Markups!$B$4/100))</f>
        <v>595.0021417</v>
      </c>
      <c r="AB11" s="176">
        <f>S11*(1+'Pricing Policies'!$C$7/100)*'Pricing Policies'!$F$4*IF($C11="TRF",1,(1+Markups!$B$4/100))</f>
        <v>714.00257</v>
      </c>
      <c r="AC11" s="73">
        <f t="shared" si="21"/>
        <v>2</v>
      </c>
      <c r="AD11" s="177">
        <f t="shared" si="3"/>
        <v>140</v>
      </c>
      <c r="AE11" s="178">
        <f>AD11*(1+'Pricing Policies'!$C$12/100)*'Pricing Policies'!$D$11</f>
        <v>147</v>
      </c>
      <c r="AF11" s="178">
        <f>AD11*(1+'Pricing Policies'!$C$12/100)*'Pricing Policies'!$E$11</f>
        <v>161.7</v>
      </c>
      <c r="AG11" s="178">
        <f>AD11*(1+'Pricing Policies'!$C$12/100)*'Pricing Policies'!$F$11</f>
        <v>176.4</v>
      </c>
      <c r="AH11" s="178">
        <f>AD11*(1+'Pricing Policies'!$C$13/100)*'Pricing Policies'!$D$11</f>
        <v>154</v>
      </c>
      <c r="AI11" s="178">
        <f>AD11*(1+'Pricing Policies'!$C$13/100)*'Pricing Policies'!$E$11</f>
        <v>169.4</v>
      </c>
      <c r="AJ11" s="178">
        <f>AD11*(1+'Pricing Policies'!$C$13/100)*'Pricing Policies'!$F$11</f>
        <v>184.8</v>
      </c>
      <c r="AK11" s="178">
        <f>AD11*(1+'Pricing Policies'!$C$14/100)*'Pricing Policies'!$D$11</f>
        <v>163.8</v>
      </c>
      <c r="AL11" s="178">
        <f>AD11*(1+'Pricing Policies'!$C$14/100)*'Pricing Policies'!$E$11</f>
        <v>180.18</v>
      </c>
      <c r="AM11" s="178">
        <f>AD11*(1+'Pricing Policies'!$C$14/100)*'Pricing Policies'!$F$11</f>
        <v>196.56</v>
      </c>
      <c r="AN11" s="178">
        <f t="shared" si="4"/>
        <v>510.5381152</v>
      </c>
      <c r="AO11" s="178">
        <f t="shared" si="5"/>
        <v>161.7</v>
      </c>
      <c r="AP11" s="178">
        <f t="shared" si="16"/>
        <v>672.2381152</v>
      </c>
      <c r="AQ11" s="179">
        <f t="shared" si="17"/>
        <v>675</v>
      </c>
      <c r="AR11" s="166">
        <f t="shared" si="6"/>
        <v>0.1</v>
      </c>
      <c r="AS11" s="176">
        <f t="shared" si="7"/>
        <v>67.5</v>
      </c>
      <c r="AT11" s="166">
        <f t="shared" si="8"/>
        <v>0.05</v>
      </c>
      <c r="AU11" s="176">
        <f t="shared" si="9"/>
        <v>37.125</v>
      </c>
      <c r="AV11" s="176">
        <f t="shared" si="18"/>
        <v>779.625</v>
      </c>
      <c r="AW11" s="180">
        <f t="shared" si="19"/>
        <v>780</v>
      </c>
      <c r="AX11" s="176">
        <f t="shared" si="10"/>
        <v>535.375</v>
      </c>
      <c r="AY11" s="181">
        <f t="shared" si="11"/>
        <v>133.84375</v>
      </c>
      <c r="AZ11" s="182">
        <f t="shared" si="12"/>
        <v>16.73046875</v>
      </c>
      <c r="BA11" s="182">
        <f t="shared" si="20"/>
        <v>16.73046875</v>
      </c>
    </row>
    <row r="12">
      <c r="A12" s="145" t="str">
        <f t="shared" si="13"/>
        <v>Montalcino-Pienza - TOUR FD</v>
      </c>
      <c r="B12" s="145" t="s">
        <v>422</v>
      </c>
      <c r="C12" s="141" t="s">
        <v>9</v>
      </c>
      <c r="D12" s="146">
        <v>9.0</v>
      </c>
      <c r="E12" s="146">
        <v>250.0</v>
      </c>
      <c r="F12" s="111">
        <v>0.0</v>
      </c>
      <c r="G12" s="111">
        <v>50.0</v>
      </c>
      <c r="H12" s="111">
        <v>20.0</v>
      </c>
      <c r="I12" s="111">
        <v>0.0</v>
      </c>
      <c r="J12" s="111">
        <v>0.0</v>
      </c>
      <c r="K12" s="147">
        <f t="shared" si="22"/>
        <v>70</v>
      </c>
      <c r="M12" s="173">
        <f>(E12)*'Base Operating Costs'!$B$13</f>
        <v>47.5</v>
      </c>
      <c r="N12" s="173">
        <f>(E12)*'Base Operating Costs'!$B$14</f>
        <v>35.17930328</v>
      </c>
      <c r="O12" s="173">
        <f>'Base Operating Costs'!$B$15*(E12)</f>
        <v>40.25046875</v>
      </c>
      <c r="P12" s="173">
        <f>D12*'Base Operating Costs'!$B$4</f>
        <v>198</v>
      </c>
      <c r="Q12" s="174">
        <f t="shared" si="2"/>
        <v>0</v>
      </c>
      <c r="R12" s="174">
        <f t="shared" si="14"/>
        <v>320.929772</v>
      </c>
      <c r="S12" s="175">
        <f t="shared" si="15"/>
        <v>322.4185987</v>
      </c>
      <c r="T12" s="176">
        <f>S12*(1+'Pricing Policies'!$C$5/100)*'Pricing Policies'!$D$4*IF($C12="TRF",1,(1+Markups!$B$4/100))</f>
        <v>465.8948751</v>
      </c>
      <c r="U12" s="176">
        <f>S12*(1+'Pricing Policies'!$C$5/100)*'Pricing Policies'!$E$4*IF($C12="TRF",1,(1+Markups!$B$4/100))</f>
        <v>548.1116177</v>
      </c>
      <c r="V12" s="176">
        <f>S12*(1+'Pricing Policies'!$C$5/100)*'Pricing Policies'!$F$4*IF($C12="TRF",1,(1+Markups!$B$4/100))</f>
        <v>657.7339413</v>
      </c>
      <c r="W12" s="176">
        <f>S12*(1+'Pricing Policies'!$C$6/100)*'Pricing Policies'!$D$4*IF($C12="TRF",1,(1+Markups!$B$4/100))</f>
        <v>496.7261536</v>
      </c>
      <c r="X12" s="176">
        <f>S12*(1+'Pricing Policies'!$C$6/100)*'Pricing Policies'!$E$4*IF($C12="TRF",1,(1+Markups!$B$4/100))</f>
        <v>584.3837101</v>
      </c>
      <c r="Y12" s="176">
        <f>S12*(1+'Pricing Policies'!$C$6/100)*'Pricing Policies'!$F$4*IF($C12="TRF",1,(1+Markups!$B$4/100))</f>
        <v>701.2604521</v>
      </c>
      <c r="Z12" s="176">
        <f>S12*(1+'Pricing Policies'!$C$7/100)*'Pricing Policies'!$D$4*IF($C12="TRF",1,(1+Markups!$B$4/100))</f>
        <v>542.9730713</v>
      </c>
      <c r="AA12" s="176">
        <f>S12*(1+'Pricing Policies'!$C$7/100)*'Pricing Policies'!$E$4*IF($C12="TRF",1,(1+Markups!$B$4/100))</f>
        <v>638.7918486</v>
      </c>
      <c r="AB12" s="176">
        <f>S12*(1+'Pricing Policies'!$C$7/100)*'Pricing Policies'!$F$4*IF($C12="TRF",1,(1+Markups!$B$4/100))</f>
        <v>766.5502183</v>
      </c>
      <c r="AC12" s="73">
        <f t="shared" si="21"/>
        <v>2</v>
      </c>
      <c r="AD12" s="177">
        <f t="shared" si="3"/>
        <v>140</v>
      </c>
      <c r="AE12" s="178">
        <f>AD12*(1+'Pricing Policies'!$C$12/100)*'Pricing Policies'!$D$11</f>
        <v>147</v>
      </c>
      <c r="AF12" s="178">
        <f>AD12*(1+'Pricing Policies'!$C$12/100)*'Pricing Policies'!$E$11</f>
        <v>161.7</v>
      </c>
      <c r="AG12" s="178">
        <f>AD12*(1+'Pricing Policies'!$C$12/100)*'Pricing Policies'!$F$11</f>
        <v>176.4</v>
      </c>
      <c r="AH12" s="178">
        <f>AD12*(1+'Pricing Policies'!$C$13/100)*'Pricing Policies'!$D$11</f>
        <v>154</v>
      </c>
      <c r="AI12" s="178">
        <f>AD12*(1+'Pricing Policies'!$C$13/100)*'Pricing Policies'!$E$11</f>
        <v>169.4</v>
      </c>
      <c r="AJ12" s="178">
        <f>AD12*(1+'Pricing Policies'!$C$13/100)*'Pricing Policies'!$F$11</f>
        <v>184.8</v>
      </c>
      <c r="AK12" s="178">
        <f>AD12*(1+'Pricing Policies'!$C$14/100)*'Pricing Policies'!$D$11</f>
        <v>163.8</v>
      </c>
      <c r="AL12" s="178">
        <f>AD12*(1+'Pricing Policies'!$C$14/100)*'Pricing Policies'!$E$11</f>
        <v>180.18</v>
      </c>
      <c r="AM12" s="178">
        <f>AD12*(1+'Pricing Policies'!$C$14/100)*'Pricing Policies'!$F$11</f>
        <v>196.56</v>
      </c>
      <c r="AN12" s="178">
        <f t="shared" si="4"/>
        <v>548.1116177</v>
      </c>
      <c r="AO12" s="178">
        <f t="shared" si="5"/>
        <v>161.7</v>
      </c>
      <c r="AP12" s="178">
        <f t="shared" si="16"/>
        <v>709.8116177</v>
      </c>
      <c r="AQ12" s="179">
        <f t="shared" si="17"/>
        <v>710</v>
      </c>
      <c r="AR12" s="166">
        <f t="shared" si="6"/>
        <v>0.1</v>
      </c>
      <c r="AS12" s="176">
        <f t="shared" si="7"/>
        <v>71</v>
      </c>
      <c r="AT12" s="166">
        <f t="shared" si="8"/>
        <v>0.05</v>
      </c>
      <c r="AU12" s="176">
        <f t="shared" si="9"/>
        <v>39.05</v>
      </c>
      <c r="AV12" s="176">
        <f t="shared" si="18"/>
        <v>820.05</v>
      </c>
      <c r="AW12" s="180">
        <f t="shared" si="19"/>
        <v>825</v>
      </c>
      <c r="AX12" s="176">
        <f t="shared" si="10"/>
        <v>574.95</v>
      </c>
      <c r="AY12" s="181">
        <f t="shared" si="11"/>
        <v>143.7375</v>
      </c>
      <c r="AZ12" s="182">
        <f t="shared" si="12"/>
        <v>15.97083333</v>
      </c>
      <c r="BA12" s="182">
        <f t="shared" si="20"/>
        <v>15.97083333</v>
      </c>
    </row>
    <row r="13">
      <c r="A13" s="145" t="str">
        <f t="shared" si="13"/>
        <v>Pisa-Lucca - TOUR FD</v>
      </c>
      <c r="B13" s="145" t="s">
        <v>423</v>
      </c>
      <c r="C13" s="141" t="s">
        <v>9</v>
      </c>
      <c r="D13" s="146">
        <v>9.0</v>
      </c>
      <c r="E13" s="146">
        <v>300.0</v>
      </c>
      <c r="F13" s="111">
        <v>0.0</v>
      </c>
      <c r="G13" s="111"/>
      <c r="H13" s="111"/>
      <c r="I13" s="111"/>
      <c r="J13" s="111"/>
      <c r="K13" s="147"/>
      <c r="M13" s="173">
        <f>(E13)*'Base Operating Costs'!$B$13</f>
        <v>57</v>
      </c>
      <c r="N13" s="173">
        <f>(E13)*'Base Operating Costs'!$B$14</f>
        <v>42.21516393</v>
      </c>
      <c r="O13" s="173">
        <f>'Base Operating Costs'!$B$15*(E13)</f>
        <v>48.3005625</v>
      </c>
      <c r="P13" s="173">
        <f>D13*'Base Operating Costs'!$B$4</f>
        <v>198</v>
      </c>
      <c r="Q13" s="174">
        <f t="shared" si="2"/>
        <v>0</v>
      </c>
      <c r="R13" s="174">
        <f t="shared" si="14"/>
        <v>345.5157264</v>
      </c>
      <c r="S13" s="175">
        <f t="shared" si="15"/>
        <v>346.0433844</v>
      </c>
      <c r="T13" s="176">
        <f>S13*(1+'Pricing Policies'!$C$5/100)*'Pricing Policies'!$D$4*IF($C13="TRF",1,(1+Markups!$B$4/100))</f>
        <v>500.0326905</v>
      </c>
      <c r="U13" s="176">
        <f>S13*(1+'Pricing Policies'!$C$5/100)*'Pricing Policies'!$E$4*IF($C13="TRF",1,(1+Markups!$B$4/100))</f>
        <v>588.2737535</v>
      </c>
      <c r="V13" s="176">
        <f>S13*(1+'Pricing Policies'!$C$5/100)*'Pricing Policies'!$F$4*IF($C13="TRF",1,(1+Markups!$B$4/100))</f>
        <v>705.9285042</v>
      </c>
      <c r="W13" s="176">
        <f>S13*(1+'Pricing Policies'!$C$6/100)*'Pricing Policies'!$D$4*IF($C13="TRF",1,(1+Markups!$B$4/100))</f>
        <v>533.1230891</v>
      </c>
      <c r="X13" s="176">
        <f>S13*(1+'Pricing Policies'!$C$6/100)*'Pricing Policies'!$E$4*IF($C13="TRF",1,(1+Markups!$B$4/100))</f>
        <v>627.2036343</v>
      </c>
      <c r="Y13" s="176">
        <f>S13*(1+'Pricing Policies'!$C$6/100)*'Pricing Policies'!$F$4*IF($C13="TRF",1,(1+Markups!$B$4/100))</f>
        <v>752.6443611</v>
      </c>
      <c r="Z13" s="176">
        <f>S13*(1+'Pricing Policies'!$C$7/100)*'Pricing Policies'!$D$4*IF($C13="TRF",1,(1+Markups!$B$4/100))</f>
        <v>582.7586871</v>
      </c>
      <c r="AA13" s="176">
        <f>S13*(1+'Pricing Policies'!$C$7/100)*'Pricing Policies'!$E$4*IF($C13="TRF",1,(1+Markups!$B$4/100))</f>
        <v>685.5984554</v>
      </c>
      <c r="AB13" s="176">
        <f>S13*(1+'Pricing Policies'!$C$7/100)*'Pricing Policies'!$F$4*IF($C13="TRF",1,(1+Markups!$B$4/100))</f>
        <v>822.7181465</v>
      </c>
      <c r="AC13" s="73">
        <f t="shared" si="21"/>
        <v>2</v>
      </c>
      <c r="AD13" s="177">
        <f t="shared" si="3"/>
        <v>0</v>
      </c>
      <c r="AE13" s="178">
        <f>AD13*(1+'Pricing Policies'!$C$12/100)*'Pricing Policies'!$D$11</f>
        <v>0</v>
      </c>
      <c r="AF13" s="178">
        <f>AD13*(1+'Pricing Policies'!$C$12/100)*'Pricing Policies'!$E$11</f>
        <v>0</v>
      </c>
      <c r="AG13" s="178">
        <f>AD13*(1+'Pricing Policies'!$C$12/100)*'Pricing Policies'!$F$11</f>
        <v>0</v>
      </c>
      <c r="AH13" s="178">
        <f>AD13*(1+'Pricing Policies'!$C$13/100)*'Pricing Policies'!$D$11</f>
        <v>0</v>
      </c>
      <c r="AI13" s="178">
        <f>AD13*(1+'Pricing Policies'!$C$13/100)*'Pricing Policies'!$E$11</f>
        <v>0</v>
      </c>
      <c r="AJ13" s="178">
        <f>AD13*(1+'Pricing Policies'!$C$13/100)*'Pricing Policies'!$F$11</f>
        <v>0</v>
      </c>
      <c r="AK13" s="178">
        <f>AD13*(1+'Pricing Policies'!$C$14/100)*'Pricing Policies'!$D$11</f>
        <v>0</v>
      </c>
      <c r="AL13" s="178">
        <f>AD13*(1+'Pricing Policies'!$C$14/100)*'Pricing Policies'!$E$11</f>
        <v>0</v>
      </c>
      <c r="AM13" s="178">
        <f>AD13*(1+'Pricing Policies'!$C$14/100)*'Pricing Policies'!$F$11</f>
        <v>0</v>
      </c>
      <c r="AN13" s="178">
        <f t="shared" si="4"/>
        <v>588.2737535</v>
      </c>
      <c r="AO13" s="178">
        <f t="shared" si="5"/>
        <v>0</v>
      </c>
      <c r="AP13" s="178">
        <f t="shared" si="16"/>
        <v>588.2737535</v>
      </c>
      <c r="AQ13" s="179">
        <f t="shared" si="17"/>
        <v>590</v>
      </c>
      <c r="AR13" s="166">
        <f t="shared" si="6"/>
        <v>0.1</v>
      </c>
      <c r="AS13" s="176">
        <f t="shared" si="7"/>
        <v>59</v>
      </c>
      <c r="AT13" s="166">
        <f t="shared" si="8"/>
        <v>0.05</v>
      </c>
      <c r="AU13" s="176">
        <f t="shared" si="9"/>
        <v>32.45</v>
      </c>
      <c r="AV13" s="176">
        <f t="shared" si="18"/>
        <v>681.45</v>
      </c>
      <c r="AW13" s="180">
        <f t="shared" si="19"/>
        <v>685</v>
      </c>
      <c r="AX13" s="176">
        <f t="shared" si="10"/>
        <v>593.55</v>
      </c>
      <c r="AY13" s="181">
        <f t="shared" si="11"/>
        <v>148.3875</v>
      </c>
      <c r="AZ13" s="182">
        <f t="shared" si="12"/>
        <v>16.4875</v>
      </c>
      <c r="BA13" s="182">
        <f t="shared" si="20"/>
        <v>16.4875</v>
      </c>
    </row>
    <row r="14">
      <c r="A14" s="145" t="str">
        <f t="shared" si="13"/>
        <v>Monteriggioni-SanGi-Volterra - TOUR FD</v>
      </c>
      <c r="B14" s="145" t="s">
        <v>424</v>
      </c>
      <c r="C14" s="141" t="s">
        <v>9</v>
      </c>
      <c r="D14" s="146">
        <v>9.0</v>
      </c>
      <c r="E14" s="146">
        <v>250.0</v>
      </c>
      <c r="F14" s="111">
        <v>0.0</v>
      </c>
      <c r="G14" s="111"/>
      <c r="H14" s="111"/>
      <c r="I14" s="111"/>
      <c r="J14" s="111"/>
      <c r="K14" s="147"/>
      <c r="M14" s="173">
        <f>(E14)*'Base Operating Costs'!$B$13</f>
        <v>47.5</v>
      </c>
      <c r="N14" s="173">
        <f>(E14)*'Base Operating Costs'!$B$14</f>
        <v>35.17930328</v>
      </c>
      <c r="O14" s="173">
        <f>'Base Operating Costs'!$B$15*(E14)</f>
        <v>40.25046875</v>
      </c>
      <c r="P14" s="173">
        <f>D14*'Base Operating Costs'!$B$4</f>
        <v>198</v>
      </c>
      <c r="Q14" s="174">
        <f t="shared" si="2"/>
        <v>0</v>
      </c>
      <c r="R14" s="174">
        <f t="shared" si="14"/>
        <v>320.929772</v>
      </c>
      <c r="S14" s="175">
        <f t="shared" si="15"/>
        <v>322.4185987</v>
      </c>
      <c r="T14" s="176">
        <f>S14*(1+'Pricing Policies'!$C$5/100)*'Pricing Policies'!$D$4*IF($C14="TRF",1,(1+Markups!$B$4/100))</f>
        <v>465.8948751</v>
      </c>
      <c r="U14" s="176">
        <f>S14*(1+'Pricing Policies'!$C$5/100)*'Pricing Policies'!$E$4*IF($C14="TRF",1,(1+Markups!$B$4/100))</f>
        <v>548.1116177</v>
      </c>
      <c r="V14" s="176">
        <f>S14*(1+'Pricing Policies'!$C$5/100)*'Pricing Policies'!$F$4*IF($C14="TRF",1,(1+Markups!$B$4/100))</f>
        <v>657.7339413</v>
      </c>
      <c r="W14" s="176">
        <f>S14*(1+'Pricing Policies'!$C$6/100)*'Pricing Policies'!$D$4*IF($C14="TRF",1,(1+Markups!$B$4/100))</f>
        <v>496.7261536</v>
      </c>
      <c r="X14" s="176">
        <f>S14*(1+'Pricing Policies'!$C$6/100)*'Pricing Policies'!$E$4*IF($C14="TRF",1,(1+Markups!$B$4/100))</f>
        <v>584.3837101</v>
      </c>
      <c r="Y14" s="176">
        <f>S14*(1+'Pricing Policies'!$C$6/100)*'Pricing Policies'!$F$4*IF($C14="TRF",1,(1+Markups!$B$4/100))</f>
        <v>701.2604521</v>
      </c>
      <c r="Z14" s="176">
        <f>S14*(1+'Pricing Policies'!$C$7/100)*'Pricing Policies'!$D$4*IF($C14="TRF",1,(1+Markups!$B$4/100))</f>
        <v>542.9730713</v>
      </c>
      <c r="AA14" s="176">
        <f>S14*(1+'Pricing Policies'!$C$7/100)*'Pricing Policies'!$E$4*IF($C14="TRF",1,(1+Markups!$B$4/100))</f>
        <v>638.7918486</v>
      </c>
      <c r="AB14" s="176">
        <f>S14*(1+'Pricing Policies'!$C$7/100)*'Pricing Policies'!$F$4*IF($C14="TRF",1,(1+Markups!$B$4/100))</f>
        <v>766.5502183</v>
      </c>
      <c r="AC14" s="73">
        <f t="shared" si="21"/>
        <v>2</v>
      </c>
      <c r="AD14" s="177">
        <f t="shared" si="3"/>
        <v>0</v>
      </c>
      <c r="AE14" s="178">
        <f>AD14*(1+'Pricing Policies'!$C$12/100)*'Pricing Policies'!$D$11</f>
        <v>0</v>
      </c>
      <c r="AF14" s="178">
        <f>AD14*(1+'Pricing Policies'!$C$12/100)*'Pricing Policies'!$E$11</f>
        <v>0</v>
      </c>
      <c r="AG14" s="178">
        <f>AD14*(1+'Pricing Policies'!$C$12/100)*'Pricing Policies'!$F$11</f>
        <v>0</v>
      </c>
      <c r="AH14" s="178">
        <f>AD14*(1+'Pricing Policies'!$C$13/100)*'Pricing Policies'!$D$11</f>
        <v>0</v>
      </c>
      <c r="AI14" s="178">
        <f>AD14*(1+'Pricing Policies'!$C$13/100)*'Pricing Policies'!$E$11</f>
        <v>0</v>
      </c>
      <c r="AJ14" s="178">
        <f>AD14*(1+'Pricing Policies'!$C$13/100)*'Pricing Policies'!$F$11</f>
        <v>0</v>
      </c>
      <c r="AK14" s="178">
        <f>AD14*(1+'Pricing Policies'!$C$14/100)*'Pricing Policies'!$D$11</f>
        <v>0</v>
      </c>
      <c r="AL14" s="178">
        <f>AD14*(1+'Pricing Policies'!$C$14/100)*'Pricing Policies'!$E$11</f>
        <v>0</v>
      </c>
      <c r="AM14" s="178">
        <f>AD14*(1+'Pricing Policies'!$C$14/100)*'Pricing Policies'!$F$11</f>
        <v>0</v>
      </c>
      <c r="AN14" s="178">
        <f t="shared" si="4"/>
        <v>548.1116177</v>
      </c>
      <c r="AO14" s="178">
        <f t="shared" si="5"/>
        <v>0</v>
      </c>
      <c r="AP14" s="178">
        <f t="shared" si="16"/>
        <v>548.1116177</v>
      </c>
      <c r="AQ14" s="179">
        <f t="shared" si="17"/>
        <v>550</v>
      </c>
      <c r="AR14" s="166">
        <f t="shared" si="6"/>
        <v>0.1</v>
      </c>
      <c r="AS14" s="176">
        <f t="shared" si="7"/>
        <v>55</v>
      </c>
      <c r="AT14" s="166">
        <f t="shared" si="8"/>
        <v>0.05</v>
      </c>
      <c r="AU14" s="176">
        <f t="shared" si="9"/>
        <v>30.25</v>
      </c>
      <c r="AV14" s="176">
        <f t="shared" si="18"/>
        <v>635.25</v>
      </c>
      <c r="AW14" s="180">
        <f t="shared" si="19"/>
        <v>640</v>
      </c>
      <c r="AX14" s="176">
        <f t="shared" si="10"/>
        <v>554.75</v>
      </c>
      <c r="AY14" s="181">
        <f t="shared" si="11"/>
        <v>138.6875</v>
      </c>
      <c r="AZ14" s="182">
        <f t="shared" si="12"/>
        <v>15.40972222</v>
      </c>
      <c r="BA14" s="182">
        <f t="shared" si="20"/>
        <v>15.40972222</v>
      </c>
    </row>
    <row r="15">
      <c r="A15" s="148" t="str">
        <f t="shared" si="13"/>
        <v>Assisi - TOUR FD</v>
      </c>
      <c r="B15" s="148" t="s">
        <v>425</v>
      </c>
      <c r="C15" s="141" t="s">
        <v>9</v>
      </c>
      <c r="D15" s="149">
        <v>9.0</v>
      </c>
      <c r="E15" s="149">
        <v>300.0</v>
      </c>
      <c r="F15" s="150">
        <v>0.0</v>
      </c>
      <c r="G15" s="150"/>
      <c r="H15" s="150"/>
      <c r="I15" s="150"/>
      <c r="J15" s="150"/>
      <c r="K15" s="151"/>
      <c r="M15" s="173">
        <f>(E15)*'Base Operating Costs'!$B$13</f>
        <v>57</v>
      </c>
      <c r="N15" s="173">
        <f>(E15)*'Base Operating Costs'!$B$14</f>
        <v>42.21516393</v>
      </c>
      <c r="O15" s="173">
        <f>'Base Operating Costs'!$B$15*(E15)</f>
        <v>48.3005625</v>
      </c>
      <c r="P15" s="173">
        <f>D15*'Base Operating Costs'!$B$4</f>
        <v>198</v>
      </c>
      <c r="Q15" s="174">
        <f t="shared" si="2"/>
        <v>0</v>
      </c>
      <c r="R15" s="174">
        <f t="shared" si="14"/>
        <v>345.5157264</v>
      </c>
      <c r="S15" s="175">
        <f t="shared" si="15"/>
        <v>346.0433844</v>
      </c>
      <c r="T15" s="176">
        <f>S15*(1+'Pricing Policies'!$C$5/100)*'Pricing Policies'!$D$4*IF($C15="TRF",1,(1+Markups!$B$4/100))</f>
        <v>500.0326905</v>
      </c>
      <c r="U15" s="176">
        <f>S15*(1+'Pricing Policies'!$C$5/100)*'Pricing Policies'!$E$4*IF($C15="TRF",1,(1+Markups!$B$4/100))</f>
        <v>588.2737535</v>
      </c>
      <c r="V15" s="176">
        <f>S15*(1+'Pricing Policies'!$C$5/100)*'Pricing Policies'!$F$4*IF($C15="TRF",1,(1+Markups!$B$4/100))</f>
        <v>705.9285042</v>
      </c>
      <c r="W15" s="176">
        <f>S15*(1+'Pricing Policies'!$C$6/100)*'Pricing Policies'!$D$4*IF($C15="TRF",1,(1+Markups!$B$4/100))</f>
        <v>533.1230891</v>
      </c>
      <c r="X15" s="176">
        <f>S15*(1+'Pricing Policies'!$C$6/100)*'Pricing Policies'!$E$4*IF($C15="TRF",1,(1+Markups!$B$4/100))</f>
        <v>627.2036343</v>
      </c>
      <c r="Y15" s="176">
        <f>S15*(1+'Pricing Policies'!$C$6/100)*'Pricing Policies'!$F$4*IF($C15="TRF",1,(1+Markups!$B$4/100))</f>
        <v>752.6443611</v>
      </c>
      <c r="Z15" s="176">
        <f>S15*(1+'Pricing Policies'!$C$7/100)*'Pricing Policies'!$D$4*IF($C15="TRF",1,(1+Markups!$B$4/100))</f>
        <v>582.7586871</v>
      </c>
      <c r="AA15" s="176">
        <f>S15*(1+'Pricing Policies'!$C$7/100)*'Pricing Policies'!$E$4*IF($C15="TRF",1,(1+Markups!$B$4/100))</f>
        <v>685.5984554</v>
      </c>
      <c r="AB15" s="176">
        <f>S15*(1+'Pricing Policies'!$C$7/100)*'Pricing Policies'!$F$4*IF($C15="TRF",1,(1+Markups!$B$4/100))</f>
        <v>822.7181465</v>
      </c>
      <c r="AC15" s="73">
        <f t="shared" si="21"/>
        <v>2</v>
      </c>
      <c r="AD15" s="177">
        <f t="shared" si="3"/>
        <v>0</v>
      </c>
      <c r="AE15" s="178">
        <f>AD15*(1+'Pricing Policies'!$C$12/100)*'Pricing Policies'!$D$11</f>
        <v>0</v>
      </c>
      <c r="AF15" s="178">
        <f>AD15*(1+'Pricing Policies'!$C$12/100)*'Pricing Policies'!$E$11</f>
        <v>0</v>
      </c>
      <c r="AG15" s="178">
        <f>AD15*(1+'Pricing Policies'!$C$12/100)*'Pricing Policies'!$F$11</f>
        <v>0</v>
      </c>
      <c r="AH15" s="178">
        <f>AD15*(1+'Pricing Policies'!$C$13/100)*'Pricing Policies'!$D$11</f>
        <v>0</v>
      </c>
      <c r="AI15" s="178">
        <f>AD15*(1+'Pricing Policies'!$C$13/100)*'Pricing Policies'!$E$11</f>
        <v>0</v>
      </c>
      <c r="AJ15" s="178">
        <f>AD15*(1+'Pricing Policies'!$C$13/100)*'Pricing Policies'!$F$11</f>
        <v>0</v>
      </c>
      <c r="AK15" s="178">
        <f>AD15*(1+'Pricing Policies'!$C$14/100)*'Pricing Policies'!$D$11</f>
        <v>0</v>
      </c>
      <c r="AL15" s="178">
        <f>AD15*(1+'Pricing Policies'!$C$14/100)*'Pricing Policies'!$E$11</f>
        <v>0</v>
      </c>
      <c r="AM15" s="178">
        <f>AD15*(1+'Pricing Policies'!$C$14/100)*'Pricing Policies'!$F$11</f>
        <v>0</v>
      </c>
      <c r="AN15" s="178">
        <f t="shared" si="4"/>
        <v>588.2737535</v>
      </c>
      <c r="AO15" s="178">
        <f t="shared" si="5"/>
        <v>0</v>
      </c>
      <c r="AP15" s="178">
        <f t="shared" si="16"/>
        <v>588.2737535</v>
      </c>
      <c r="AQ15" s="179">
        <f t="shared" si="17"/>
        <v>590</v>
      </c>
      <c r="AR15" s="166">
        <f t="shared" si="6"/>
        <v>0.1</v>
      </c>
      <c r="AS15" s="176">
        <f t="shared" si="7"/>
        <v>59</v>
      </c>
      <c r="AT15" s="166">
        <f t="shared" si="8"/>
        <v>0.05</v>
      </c>
      <c r="AU15" s="176">
        <f t="shared" si="9"/>
        <v>32.45</v>
      </c>
      <c r="AV15" s="176">
        <f t="shared" si="18"/>
        <v>681.45</v>
      </c>
      <c r="AW15" s="180">
        <f t="shared" si="19"/>
        <v>685</v>
      </c>
      <c r="AX15" s="176">
        <f t="shared" si="10"/>
        <v>593.55</v>
      </c>
      <c r="AY15" s="181">
        <f t="shared" si="11"/>
        <v>148.3875</v>
      </c>
      <c r="AZ15" s="182">
        <f t="shared" si="12"/>
        <v>16.4875</v>
      </c>
      <c r="BA15" s="182">
        <f t="shared" si="20"/>
        <v>16.4875</v>
      </c>
    </row>
    <row r="16">
      <c r="A16" s="145" t="str">
        <f t="shared" si="13"/>
        <v>Siena - TRF</v>
      </c>
      <c r="B16" s="145" t="s">
        <v>426</v>
      </c>
      <c r="C16" s="152" t="s">
        <v>79</v>
      </c>
      <c r="D16" s="146">
        <v>1.0</v>
      </c>
      <c r="E16" s="146">
        <v>10.0</v>
      </c>
      <c r="F16" s="111">
        <v>0.0</v>
      </c>
      <c r="G16" s="111"/>
      <c r="H16" s="111"/>
      <c r="I16" s="111"/>
      <c r="J16" s="111"/>
      <c r="K16" s="147"/>
      <c r="M16" s="173">
        <f>(E16)*'Base Operating Costs'!$B$13</f>
        <v>1.9</v>
      </c>
      <c r="N16" s="173">
        <f>(E16)*'Base Operating Costs'!$B$14</f>
        <v>1.407172131</v>
      </c>
      <c r="O16" s="173">
        <f>'Base Operating Costs'!$B$15*(E16)</f>
        <v>1.61001875</v>
      </c>
      <c r="P16" s="173">
        <f>D16*'Base Operating Costs'!$B$4</f>
        <v>22</v>
      </c>
      <c r="Q16" s="174">
        <f t="shared" si="2"/>
        <v>0</v>
      </c>
      <c r="R16" s="174">
        <f t="shared" si="14"/>
        <v>26.91719088</v>
      </c>
      <c r="S16" s="175">
        <f t="shared" si="15"/>
        <v>52.78151271</v>
      </c>
      <c r="T16" s="176">
        <f>S16*(1+'Pricing Policies'!$C$5/100)*'Pricing Policies'!$D$4*IF($C16="TRF",1,(1+Markups!$B$4/100))</f>
        <v>61.01542869</v>
      </c>
      <c r="U16" s="176">
        <f>S16*(1+'Pricing Policies'!$C$5/100)*'Pricing Policies'!$E$4*IF($C16="TRF",1,(1+Markups!$B$4/100))</f>
        <v>71.78285728</v>
      </c>
      <c r="V16" s="176">
        <f>S16*(1+'Pricing Policies'!$C$5/100)*'Pricing Policies'!$F$4*IF($C16="TRF",1,(1+Markups!$B$4/100))</f>
        <v>86.13942873</v>
      </c>
      <c r="W16" s="176">
        <f>S16*(1+'Pricing Policies'!$C$6/100)*'Pricing Policies'!$D$4*IF($C16="TRF",1,(1+Markups!$B$4/100))</f>
        <v>65.05321441</v>
      </c>
      <c r="X16" s="176">
        <f>S16*(1+'Pricing Policies'!$C$6/100)*'Pricing Policies'!$E$4*IF($C16="TRF",1,(1+Markups!$B$4/100))</f>
        <v>76.53319342</v>
      </c>
      <c r="Y16" s="176">
        <f>S16*(1+'Pricing Policies'!$C$6/100)*'Pricing Policies'!$F$4*IF($C16="TRF",1,(1+Markups!$B$4/100))</f>
        <v>91.83983211</v>
      </c>
      <c r="Z16" s="176">
        <f>S16*(1+'Pricing Policies'!$C$7/100)*'Pricing Policies'!$D$4*IF($C16="TRF",1,(1+Markups!$B$4/100))</f>
        <v>71.10989299</v>
      </c>
      <c r="AA16" s="176">
        <f>S16*(1+'Pricing Policies'!$C$7/100)*'Pricing Policies'!$E$4*IF($C16="TRF",1,(1+Markups!$B$4/100))</f>
        <v>83.65869764</v>
      </c>
      <c r="AB16" s="176">
        <f>S16*(1+'Pricing Policies'!$C$7/100)*'Pricing Policies'!$F$4*IF($C16="TRF",1,(1+Markups!$B$4/100))</f>
        <v>100.3904372</v>
      </c>
      <c r="AC16" s="73">
        <f t="shared" si="21"/>
        <v>2</v>
      </c>
      <c r="AD16" s="177">
        <f t="shared" si="3"/>
        <v>0</v>
      </c>
      <c r="AE16" s="178">
        <f>AD16*(1+'Pricing Policies'!$C$12/100)*'Pricing Policies'!$D$11</f>
        <v>0</v>
      </c>
      <c r="AF16" s="178">
        <f>AD16*(1+'Pricing Policies'!$C$12/100)*'Pricing Policies'!$E$11</f>
        <v>0</v>
      </c>
      <c r="AG16" s="178">
        <f>AD16*(1+'Pricing Policies'!$C$12/100)*'Pricing Policies'!$F$11</f>
        <v>0</v>
      </c>
      <c r="AH16" s="178">
        <f>AD16*(1+'Pricing Policies'!$C$13/100)*'Pricing Policies'!$D$11</f>
        <v>0</v>
      </c>
      <c r="AI16" s="178">
        <f>AD16*(1+'Pricing Policies'!$C$13/100)*'Pricing Policies'!$E$11</f>
        <v>0</v>
      </c>
      <c r="AJ16" s="178">
        <f>AD16*(1+'Pricing Policies'!$C$13/100)*'Pricing Policies'!$F$11</f>
        <v>0</v>
      </c>
      <c r="AK16" s="178">
        <f>AD16*(1+'Pricing Policies'!$C$14/100)*'Pricing Policies'!$D$11</f>
        <v>0</v>
      </c>
      <c r="AL16" s="178">
        <f>AD16*(1+'Pricing Policies'!$C$14/100)*'Pricing Policies'!$E$11</f>
        <v>0</v>
      </c>
      <c r="AM16" s="178">
        <f>AD16*(1+'Pricing Policies'!$C$14/100)*'Pricing Policies'!$F$11</f>
        <v>0</v>
      </c>
      <c r="AN16" s="178">
        <f t="shared" si="4"/>
        <v>71.78285728</v>
      </c>
      <c r="AO16" s="178">
        <f t="shared" si="5"/>
        <v>0</v>
      </c>
      <c r="AP16" s="178">
        <f t="shared" si="16"/>
        <v>71.78285728</v>
      </c>
      <c r="AQ16" s="179">
        <f t="shared" si="17"/>
        <v>75</v>
      </c>
      <c r="AR16" s="166">
        <f t="shared" si="6"/>
        <v>0.1</v>
      </c>
      <c r="AS16" s="176">
        <f t="shared" si="7"/>
        <v>7.5</v>
      </c>
      <c r="AT16" s="166">
        <f t="shared" si="8"/>
        <v>0.05</v>
      </c>
      <c r="AU16" s="176">
        <f t="shared" si="9"/>
        <v>4.125</v>
      </c>
      <c r="AV16" s="176">
        <f t="shared" si="18"/>
        <v>86.625</v>
      </c>
      <c r="AW16" s="180">
        <f t="shared" si="19"/>
        <v>90</v>
      </c>
      <c r="AX16" s="176">
        <f t="shared" si="10"/>
        <v>78.375</v>
      </c>
      <c r="AY16" s="181">
        <f t="shared" si="11"/>
        <v>19.59375</v>
      </c>
      <c r="AZ16" s="182">
        <f t="shared" si="12"/>
        <v>19.59375</v>
      </c>
      <c r="BA16" s="182">
        <f t="shared" si="20"/>
        <v>19.59375</v>
      </c>
    </row>
    <row r="17">
      <c r="A17" s="145" t="str">
        <f t="shared" si="13"/>
        <v>Siena dintorni - TRF</v>
      </c>
      <c r="B17" s="145" t="s">
        <v>427</v>
      </c>
      <c r="C17" s="152" t="s">
        <v>79</v>
      </c>
      <c r="D17" s="146">
        <v>2.0</v>
      </c>
      <c r="E17" s="146">
        <v>30.0</v>
      </c>
      <c r="F17" s="111">
        <v>0.0</v>
      </c>
      <c r="G17" s="111"/>
      <c r="H17" s="111"/>
      <c r="I17" s="111"/>
      <c r="J17" s="111"/>
      <c r="K17" s="147"/>
      <c r="M17" s="173">
        <f>(E17)*'Base Operating Costs'!$B$13</f>
        <v>5.7</v>
      </c>
      <c r="N17" s="173">
        <f>(E17)*'Base Operating Costs'!$B$14</f>
        <v>4.221516393</v>
      </c>
      <c r="O17" s="173">
        <f>'Base Operating Costs'!$B$15*(E17)</f>
        <v>4.83005625</v>
      </c>
      <c r="P17" s="173">
        <f>D17*'Base Operating Costs'!$B$4</f>
        <v>44</v>
      </c>
      <c r="Q17" s="174">
        <f t="shared" si="2"/>
        <v>0</v>
      </c>
      <c r="R17" s="174">
        <f t="shared" si="14"/>
        <v>58.75157264</v>
      </c>
      <c r="S17" s="175">
        <f t="shared" si="15"/>
        <v>94.94844844</v>
      </c>
      <c r="T17" s="176">
        <f>S17*(1+'Pricing Policies'!$C$5/100)*'Pricing Policies'!$D$4*IF($C17="TRF",1,(1+Markups!$B$4/100))</f>
        <v>109.7604064</v>
      </c>
      <c r="U17" s="176">
        <f>S17*(1+'Pricing Policies'!$C$5/100)*'Pricing Policies'!$E$4*IF($C17="TRF",1,(1+Markups!$B$4/100))</f>
        <v>129.1298899</v>
      </c>
      <c r="V17" s="176">
        <f>S17*(1+'Pricing Policies'!$C$5/100)*'Pricing Policies'!$F$4*IF($C17="TRF",1,(1+Markups!$B$4/100))</f>
        <v>154.9558679</v>
      </c>
      <c r="W17" s="176">
        <f>S17*(1+'Pricing Policies'!$C$6/100)*'Pricing Policies'!$D$4*IF($C17="TRF",1,(1+Markups!$B$4/100))</f>
        <v>117.0239627</v>
      </c>
      <c r="X17" s="176">
        <f>S17*(1+'Pricing Policies'!$C$6/100)*'Pricing Policies'!$E$4*IF($C17="TRF",1,(1+Markups!$B$4/100))</f>
        <v>137.6752502</v>
      </c>
      <c r="Y17" s="176">
        <f>S17*(1+'Pricing Policies'!$C$6/100)*'Pricing Policies'!$F$4*IF($C17="TRF",1,(1+Markups!$B$4/100))</f>
        <v>165.2103003</v>
      </c>
      <c r="Z17" s="176">
        <f>S17*(1+'Pricing Policies'!$C$7/100)*'Pricing Policies'!$D$4*IF($C17="TRF",1,(1+Markups!$B$4/100))</f>
        <v>127.9192972</v>
      </c>
      <c r="AA17" s="176">
        <f>S17*(1+'Pricing Policies'!$C$7/100)*'Pricing Policies'!$E$4*IF($C17="TRF",1,(1+Markups!$B$4/100))</f>
        <v>150.4932908</v>
      </c>
      <c r="AB17" s="176">
        <f>S17*(1+'Pricing Policies'!$C$7/100)*'Pricing Policies'!$F$4*IF($C17="TRF",1,(1+Markups!$B$4/100))</f>
        <v>180.5919489</v>
      </c>
      <c r="AC17" s="73">
        <f t="shared" si="21"/>
        <v>2</v>
      </c>
      <c r="AD17" s="177">
        <f t="shared" si="3"/>
        <v>0</v>
      </c>
      <c r="AE17" s="178">
        <f>AD17*(1+'Pricing Policies'!$C$12/100)*'Pricing Policies'!$D$11</f>
        <v>0</v>
      </c>
      <c r="AF17" s="178">
        <f>AD17*(1+'Pricing Policies'!$C$12/100)*'Pricing Policies'!$E$11</f>
        <v>0</v>
      </c>
      <c r="AG17" s="178">
        <f>AD17*(1+'Pricing Policies'!$C$12/100)*'Pricing Policies'!$F$11</f>
        <v>0</v>
      </c>
      <c r="AH17" s="178">
        <f>AD17*(1+'Pricing Policies'!$C$13/100)*'Pricing Policies'!$D$11</f>
        <v>0</v>
      </c>
      <c r="AI17" s="178">
        <f>AD17*(1+'Pricing Policies'!$C$13/100)*'Pricing Policies'!$E$11</f>
        <v>0</v>
      </c>
      <c r="AJ17" s="178">
        <f>AD17*(1+'Pricing Policies'!$C$13/100)*'Pricing Policies'!$F$11</f>
        <v>0</v>
      </c>
      <c r="AK17" s="178">
        <f>AD17*(1+'Pricing Policies'!$C$14/100)*'Pricing Policies'!$D$11</f>
        <v>0</v>
      </c>
      <c r="AL17" s="178">
        <f>AD17*(1+'Pricing Policies'!$C$14/100)*'Pricing Policies'!$E$11</f>
        <v>0</v>
      </c>
      <c r="AM17" s="178">
        <f>AD17*(1+'Pricing Policies'!$C$14/100)*'Pricing Policies'!$F$11</f>
        <v>0</v>
      </c>
      <c r="AN17" s="178">
        <f t="shared" si="4"/>
        <v>129.1298899</v>
      </c>
      <c r="AO17" s="178">
        <f t="shared" si="5"/>
        <v>0</v>
      </c>
      <c r="AP17" s="178">
        <f t="shared" si="16"/>
        <v>129.1298899</v>
      </c>
      <c r="AQ17" s="179">
        <f t="shared" si="17"/>
        <v>130</v>
      </c>
      <c r="AR17" s="166">
        <f t="shared" si="6"/>
        <v>0.1</v>
      </c>
      <c r="AS17" s="176">
        <f t="shared" si="7"/>
        <v>13</v>
      </c>
      <c r="AT17" s="166">
        <f t="shared" si="8"/>
        <v>0.05</v>
      </c>
      <c r="AU17" s="176">
        <f t="shared" si="9"/>
        <v>7.15</v>
      </c>
      <c r="AV17" s="176">
        <f t="shared" si="18"/>
        <v>150.15</v>
      </c>
      <c r="AW17" s="180">
        <f t="shared" si="19"/>
        <v>155</v>
      </c>
      <c r="AX17" s="176">
        <f t="shared" si="10"/>
        <v>134.85</v>
      </c>
      <c r="AY17" s="181">
        <f t="shared" si="11"/>
        <v>33.7125</v>
      </c>
      <c r="AZ17" s="182">
        <f t="shared" si="12"/>
        <v>16.85625</v>
      </c>
      <c r="BA17" s="182">
        <f t="shared" si="20"/>
        <v>16.85625</v>
      </c>
    </row>
    <row r="18">
      <c r="A18" s="145" t="str">
        <f t="shared" si="13"/>
        <v>Arezzo - TRF</v>
      </c>
      <c r="B18" s="145" t="s">
        <v>428</v>
      </c>
      <c r="C18" s="152" t="s">
        <v>79</v>
      </c>
      <c r="D18" s="146">
        <v>3.0</v>
      </c>
      <c r="E18" s="146">
        <v>180.0</v>
      </c>
      <c r="F18" s="111">
        <v>0.0</v>
      </c>
      <c r="G18" s="111"/>
      <c r="H18" s="111"/>
      <c r="I18" s="111"/>
      <c r="J18" s="111"/>
      <c r="K18" s="147"/>
      <c r="M18" s="173">
        <f>(E18)*'Base Operating Costs'!$B$13</f>
        <v>34.2</v>
      </c>
      <c r="N18" s="173">
        <f>(E18)*'Base Operating Costs'!$B$14</f>
        <v>25.32909836</v>
      </c>
      <c r="O18" s="173">
        <f>'Base Operating Costs'!$B$15*(E18)</f>
        <v>28.9803375</v>
      </c>
      <c r="P18" s="173">
        <f>D18*'Base Operating Costs'!$B$4</f>
        <v>66</v>
      </c>
      <c r="Q18" s="174">
        <f t="shared" si="2"/>
        <v>0</v>
      </c>
      <c r="R18" s="174">
        <f t="shared" si="14"/>
        <v>154.5094359</v>
      </c>
      <c r="S18" s="175">
        <f t="shared" si="15"/>
        <v>157.9053627</v>
      </c>
      <c r="T18" s="176">
        <f>S18*(1+'Pricing Policies'!$C$5/100)*'Pricing Policies'!$D$4*IF($C18="TRF",1,(1+Markups!$B$4/100))</f>
        <v>182.5385993</v>
      </c>
      <c r="U18" s="176">
        <f>S18*(1+'Pricing Policies'!$C$5/100)*'Pricing Policies'!$E$4*IF($C18="TRF",1,(1+Markups!$B$4/100))</f>
        <v>214.7512933</v>
      </c>
      <c r="V18" s="176">
        <f>S18*(1+'Pricing Policies'!$C$5/100)*'Pricing Policies'!$F$4*IF($C18="TRF",1,(1+Markups!$B$4/100))</f>
        <v>257.7015519</v>
      </c>
      <c r="W18" s="176">
        <f>S18*(1+'Pricing Policies'!$C$6/100)*'Pricing Policies'!$D$4*IF($C18="TRF",1,(1+Markups!$B$4/100))</f>
        <v>194.6183595</v>
      </c>
      <c r="X18" s="176">
        <f>S18*(1+'Pricing Policies'!$C$6/100)*'Pricing Policies'!$E$4*IF($C18="TRF",1,(1+Markups!$B$4/100))</f>
        <v>228.9627759</v>
      </c>
      <c r="Y18" s="176">
        <f>S18*(1+'Pricing Policies'!$C$6/100)*'Pricing Policies'!$F$4*IF($C18="TRF",1,(1+Markups!$B$4/100))</f>
        <v>274.7553311</v>
      </c>
      <c r="Z18" s="176">
        <f>S18*(1+'Pricing Policies'!$C$7/100)*'Pricing Policies'!$D$4*IF($C18="TRF",1,(1+Markups!$B$4/100))</f>
        <v>212.7379999</v>
      </c>
      <c r="AA18" s="176">
        <f>S18*(1+'Pricing Policies'!$C$7/100)*'Pricing Policies'!$E$4*IF($C18="TRF",1,(1+Markups!$B$4/100))</f>
        <v>250.2799999</v>
      </c>
      <c r="AB18" s="176">
        <f>S18*(1+'Pricing Policies'!$C$7/100)*'Pricing Policies'!$F$4*IF($C18="TRF",1,(1+Markups!$B$4/100))</f>
        <v>300.3359999</v>
      </c>
      <c r="AC18" s="73">
        <f t="shared" si="21"/>
        <v>2</v>
      </c>
      <c r="AD18" s="177">
        <f t="shared" si="3"/>
        <v>0</v>
      </c>
      <c r="AE18" s="178">
        <f>AD18*(1+'Pricing Policies'!$C$12/100)*'Pricing Policies'!$D$11</f>
        <v>0</v>
      </c>
      <c r="AF18" s="178">
        <f>AD18*(1+'Pricing Policies'!$C$12/100)*'Pricing Policies'!$E$11</f>
        <v>0</v>
      </c>
      <c r="AG18" s="178">
        <f>AD18*(1+'Pricing Policies'!$C$12/100)*'Pricing Policies'!$F$11</f>
        <v>0</v>
      </c>
      <c r="AH18" s="178">
        <f>AD18*(1+'Pricing Policies'!$C$13/100)*'Pricing Policies'!$D$11</f>
        <v>0</v>
      </c>
      <c r="AI18" s="178">
        <f>AD18*(1+'Pricing Policies'!$C$13/100)*'Pricing Policies'!$E$11</f>
        <v>0</v>
      </c>
      <c r="AJ18" s="178">
        <f>AD18*(1+'Pricing Policies'!$C$13/100)*'Pricing Policies'!$F$11</f>
        <v>0</v>
      </c>
      <c r="AK18" s="178">
        <f>AD18*(1+'Pricing Policies'!$C$14/100)*'Pricing Policies'!$D$11</f>
        <v>0</v>
      </c>
      <c r="AL18" s="178">
        <f>AD18*(1+'Pricing Policies'!$C$14/100)*'Pricing Policies'!$E$11</f>
        <v>0</v>
      </c>
      <c r="AM18" s="178">
        <f>AD18*(1+'Pricing Policies'!$C$14/100)*'Pricing Policies'!$F$11</f>
        <v>0</v>
      </c>
      <c r="AN18" s="178">
        <f t="shared" si="4"/>
        <v>214.7512933</v>
      </c>
      <c r="AO18" s="178">
        <f t="shared" si="5"/>
        <v>0</v>
      </c>
      <c r="AP18" s="178">
        <f t="shared" si="16"/>
        <v>214.7512933</v>
      </c>
      <c r="AQ18" s="179">
        <f t="shared" si="17"/>
        <v>215</v>
      </c>
      <c r="AR18" s="166">
        <f t="shared" si="6"/>
        <v>0.1</v>
      </c>
      <c r="AS18" s="176">
        <f t="shared" si="7"/>
        <v>21.5</v>
      </c>
      <c r="AT18" s="166">
        <f t="shared" si="8"/>
        <v>0.05</v>
      </c>
      <c r="AU18" s="176">
        <f t="shared" si="9"/>
        <v>11.825</v>
      </c>
      <c r="AV18" s="176">
        <f t="shared" si="18"/>
        <v>248.325</v>
      </c>
      <c r="AW18" s="180">
        <f t="shared" si="19"/>
        <v>250</v>
      </c>
      <c r="AX18" s="176">
        <f t="shared" si="10"/>
        <v>216.675</v>
      </c>
      <c r="AY18" s="181">
        <f t="shared" si="11"/>
        <v>54.16875</v>
      </c>
      <c r="AZ18" s="182">
        <f t="shared" si="12"/>
        <v>18.05625</v>
      </c>
      <c r="BA18" s="182">
        <f t="shared" si="20"/>
        <v>18.05625</v>
      </c>
    </row>
    <row r="19">
      <c r="A19" s="145" t="str">
        <f t="shared" si="13"/>
        <v>Chiusi - TRF</v>
      </c>
      <c r="B19" s="145" t="s">
        <v>429</v>
      </c>
      <c r="C19" s="152" t="s">
        <v>79</v>
      </c>
      <c r="D19" s="146">
        <v>3.0</v>
      </c>
      <c r="E19" s="146">
        <v>180.0</v>
      </c>
      <c r="F19" s="111">
        <v>5.0</v>
      </c>
      <c r="G19" s="111"/>
      <c r="H19" s="111"/>
      <c r="I19" s="111"/>
      <c r="J19" s="111"/>
      <c r="K19" s="147"/>
      <c r="M19" s="173">
        <f>(E19)*'Base Operating Costs'!$B$13</f>
        <v>34.2</v>
      </c>
      <c r="N19" s="173">
        <f>(E19)*'Base Operating Costs'!$B$14</f>
        <v>25.32909836</v>
      </c>
      <c r="O19" s="173">
        <f>'Base Operating Costs'!$B$15*(E19)</f>
        <v>28.9803375</v>
      </c>
      <c r="P19" s="173">
        <f>D19*'Base Operating Costs'!$B$4</f>
        <v>66</v>
      </c>
      <c r="Q19" s="174">
        <f t="shared" si="2"/>
        <v>5</v>
      </c>
      <c r="R19" s="174">
        <f t="shared" si="14"/>
        <v>159.5094359</v>
      </c>
      <c r="S19" s="175">
        <f t="shared" si="15"/>
        <v>163.0152565</v>
      </c>
      <c r="T19" s="176">
        <f>S19*(1+'Pricing Policies'!$C$5/100)*'Pricing Policies'!$D$4*IF($C19="TRF",1,(1+Markups!$B$4/100))</f>
        <v>188.4456366</v>
      </c>
      <c r="U19" s="176">
        <f>S19*(1+'Pricing Policies'!$C$5/100)*'Pricing Policies'!$E$4*IF($C19="TRF",1,(1+Markups!$B$4/100))</f>
        <v>221.7007489</v>
      </c>
      <c r="V19" s="176">
        <f>S19*(1+'Pricing Policies'!$C$5/100)*'Pricing Policies'!$F$4*IF($C19="TRF",1,(1+Markups!$B$4/100))</f>
        <v>266.0408987</v>
      </c>
      <c r="W19" s="176">
        <f>S19*(1+'Pricing Policies'!$C$6/100)*'Pricing Policies'!$D$4*IF($C19="TRF",1,(1+Markups!$B$4/100))</f>
        <v>200.9163037</v>
      </c>
      <c r="X19" s="176">
        <f>S19*(1+'Pricing Policies'!$C$6/100)*'Pricing Policies'!$E$4*IF($C19="TRF",1,(1+Markups!$B$4/100))</f>
        <v>236.372122</v>
      </c>
      <c r="Y19" s="176">
        <f>S19*(1+'Pricing Policies'!$C$6/100)*'Pricing Policies'!$F$4*IF($C19="TRF",1,(1+Markups!$B$4/100))</f>
        <v>283.6465464</v>
      </c>
      <c r="Z19" s="176">
        <f>S19*(1+'Pricing Policies'!$C$7/100)*'Pricing Policies'!$D$4*IF($C19="TRF",1,(1+Markups!$B$4/100))</f>
        <v>219.6223044</v>
      </c>
      <c r="AA19" s="176">
        <f>S19*(1+'Pricing Policies'!$C$7/100)*'Pricing Policies'!$E$4*IF($C19="TRF",1,(1+Markups!$B$4/100))</f>
        <v>258.3791816</v>
      </c>
      <c r="AB19" s="176">
        <f>S19*(1+'Pricing Policies'!$C$7/100)*'Pricing Policies'!$F$4*IF($C19="TRF",1,(1+Markups!$B$4/100))</f>
        <v>310.0550179</v>
      </c>
      <c r="AC19" s="73">
        <f t="shared" si="21"/>
        <v>2</v>
      </c>
      <c r="AD19" s="177">
        <f t="shared" si="3"/>
        <v>0</v>
      </c>
      <c r="AE19" s="178">
        <f>AD19*(1+'Pricing Policies'!$C$12/100)*'Pricing Policies'!$D$11</f>
        <v>0</v>
      </c>
      <c r="AF19" s="178">
        <f>AD19*(1+'Pricing Policies'!$C$12/100)*'Pricing Policies'!$E$11</f>
        <v>0</v>
      </c>
      <c r="AG19" s="178">
        <f>AD19*(1+'Pricing Policies'!$C$12/100)*'Pricing Policies'!$F$11</f>
        <v>0</v>
      </c>
      <c r="AH19" s="178">
        <f>AD19*(1+'Pricing Policies'!$C$13/100)*'Pricing Policies'!$D$11</f>
        <v>0</v>
      </c>
      <c r="AI19" s="178">
        <f>AD19*(1+'Pricing Policies'!$C$13/100)*'Pricing Policies'!$E$11</f>
        <v>0</v>
      </c>
      <c r="AJ19" s="178">
        <f>AD19*(1+'Pricing Policies'!$C$13/100)*'Pricing Policies'!$F$11</f>
        <v>0</v>
      </c>
      <c r="AK19" s="178">
        <f>AD19*(1+'Pricing Policies'!$C$14/100)*'Pricing Policies'!$D$11</f>
        <v>0</v>
      </c>
      <c r="AL19" s="178">
        <f>AD19*(1+'Pricing Policies'!$C$14/100)*'Pricing Policies'!$E$11</f>
        <v>0</v>
      </c>
      <c r="AM19" s="178">
        <f>AD19*(1+'Pricing Policies'!$C$14/100)*'Pricing Policies'!$F$11</f>
        <v>0</v>
      </c>
      <c r="AN19" s="178">
        <f t="shared" si="4"/>
        <v>221.7007489</v>
      </c>
      <c r="AO19" s="178">
        <f t="shared" si="5"/>
        <v>0</v>
      </c>
      <c r="AP19" s="178">
        <f t="shared" si="16"/>
        <v>221.7007489</v>
      </c>
      <c r="AQ19" s="179">
        <f t="shared" si="17"/>
        <v>225</v>
      </c>
      <c r="AR19" s="166">
        <f t="shared" si="6"/>
        <v>0.1</v>
      </c>
      <c r="AS19" s="176">
        <f t="shared" si="7"/>
        <v>22.5</v>
      </c>
      <c r="AT19" s="166">
        <f t="shared" si="8"/>
        <v>0.05</v>
      </c>
      <c r="AU19" s="176">
        <f t="shared" si="9"/>
        <v>12.375</v>
      </c>
      <c r="AV19" s="176">
        <f t="shared" si="18"/>
        <v>259.875</v>
      </c>
      <c r="AW19" s="180">
        <f t="shared" si="19"/>
        <v>260</v>
      </c>
      <c r="AX19" s="176">
        <f t="shared" si="10"/>
        <v>225.125</v>
      </c>
      <c r="AY19" s="181">
        <f t="shared" si="11"/>
        <v>56.28125</v>
      </c>
      <c r="AZ19" s="182">
        <f t="shared" si="12"/>
        <v>18.76041667</v>
      </c>
      <c r="BA19" s="182">
        <f t="shared" si="20"/>
        <v>18.76041667</v>
      </c>
    </row>
    <row r="20">
      <c r="A20" s="145" t="str">
        <f t="shared" si="13"/>
        <v>Civitavecchia - TRF</v>
      </c>
      <c r="B20" s="145" t="s">
        <v>430</v>
      </c>
      <c r="C20" s="152" t="s">
        <v>79</v>
      </c>
      <c r="D20" s="146">
        <v>5.0</v>
      </c>
      <c r="E20" s="146">
        <v>370.0</v>
      </c>
      <c r="F20" s="111">
        <v>5.0</v>
      </c>
      <c r="G20" s="111"/>
      <c r="H20" s="111"/>
      <c r="I20" s="111"/>
      <c r="J20" s="111"/>
      <c r="K20" s="147"/>
      <c r="M20" s="173">
        <f>(E20)*'Base Operating Costs'!$B$13</f>
        <v>70.3</v>
      </c>
      <c r="N20" s="173">
        <f>(E20)*'Base Operating Costs'!$B$14</f>
        <v>52.06536885</v>
      </c>
      <c r="O20" s="173">
        <f>'Base Operating Costs'!$B$15*(E20)</f>
        <v>59.57069375</v>
      </c>
      <c r="P20" s="173">
        <f>D20*'Base Operating Costs'!$B$4</f>
        <v>110</v>
      </c>
      <c r="Q20" s="174">
        <f t="shared" si="2"/>
        <v>5</v>
      </c>
      <c r="R20" s="174">
        <f t="shared" si="14"/>
        <v>296.9360626</v>
      </c>
      <c r="S20" s="175">
        <f t="shared" si="15"/>
        <v>297.0317773</v>
      </c>
      <c r="T20" s="176">
        <f>S20*(1+'Pricing Policies'!$C$5/100)*'Pricing Policies'!$D$4*IF($C20="TRF",1,(1+Markups!$B$4/100))</f>
        <v>343.3687345</v>
      </c>
      <c r="U20" s="176">
        <f>S20*(1+'Pricing Policies'!$C$5/100)*'Pricing Policies'!$E$4*IF($C20="TRF",1,(1+Markups!$B$4/100))</f>
        <v>403.9632171</v>
      </c>
      <c r="V20" s="176">
        <f>S20*(1+'Pricing Policies'!$C$5/100)*'Pricing Policies'!$F$4*IF($C20="TRF",1,(1+Markups!$B$4/100))</f>
        <v>484.7558605</v>
      </c>
      <c r="W20" s="176">
        <f>S20*(1+'Pricing Policies'!$C$6/100)*'Pricing Policies'!$D$4*IF($C20="TRF",1,(1+Markups!$B$4/100))</f>
        <v>366.0916655</v>
      </c>
      <c r="X20" s="176">
        <f>S20*(1+'Pricing Policies'!$C$6/100)*'Pricing Policies'!$E$4*IF($C20="TRF",1,(1+Markups!$B$4/100))</f>
        <v>430.696077</v>
      </c>
      <c r="Y20" s="176">
        <f>S20*(1+'Pricing Policies'!$C$6/100)*'Pricing Policies'!$F$4*IF($C20="TRF",1,(1+Markups!$B$4/100))</f>
        <v>516.8352924</v>
      </c>
      <c r="Z20" s="176">
        <f>S20*(1+'Pricing Policies'!$C$7/100)*'Pricing Policies'!$D$4*IF($C20="TRF",1,(1+Markups!$B$4/100))</f>
        <v>400.1760619</v>
      </c>
      <c r="AA20" s="176">
        <f>S20*(1+'Pricing Policies'!$C$7/100)*'Pricing Policies'!$E$4*IF($C20="TRF",1,(1+Markups!$B$4/100))</f>
        <v>470.795367</v>
      </c>
      <c r="AB20" s="176">
        <f>S20*(1+'Pricing Policies'!$C$7/100)*'Pricing Policies'!$F$4*IF($C20="TRF",1,(1+Markups!$B$4/100))</f>
        <v>564.9544403</v>
      </c>
      <c r="AC20" s="73">
        <f t="shared" si="21"/>
        <v>2</v>
      </c>
      <c r="AD20" s="177">
        <f t="shared" si="3"/>
        <v>0</v>
      </c>
      <c r="AE20" s="178">
        <f>AD20*(1+'Pricing Policies'!$C$12/100)*'Pricing Policies'!$D$11</f>
        <v>0</v>
      </c>
      <c r="AF20" s="178">
        <f>AD20*(1+'Pricing Policies'!$C$12/100)*'Pricing Policies'!$E$11</f>
        <v>0</v>
      </c>
      <c r="AG20" s="178">
        <f>AD20*(1+'Pricing Policies'!$C$12/100)*'Pricing Policies'!$F$11</f>
        <v>0</v>
      </c>
      <c r="AH20" s="178">
        <f>AD20*(1+'Pricing Policies'!$C$13/100)*'Pricing Policies'!$D$11</f>
        <v>0</v>
      </c>
      <c r="AI20" s="178">
        <f>AD20*(1+'Pricing Policies'!$C$13/100)*'Pricing Policies'!$E$11</f>
        <v>0</v>
      </c>
      <c r="AJ20" s="178">
        <f>AD20*(1+'Pricing Policies'!$C$13/100)*'Pricing Policies'!$F$11</f>
        <v>0</v>
      </c>
      <c r="AK20" s="178">
        <f>AD20*(1+'Pricing Policies'!$C$14/100)*'Pricing Policies'!$D$11</f>
        <v>0</v>
      </c>
      <c r="AL20" s="178">
        <f>AD20*(1+'Pricing Policies'!$C$14/100)*'Pricing Policies'!$E$11</f>
        <v>0</v>
      </c>
      <c r="AM20" s="178">
        <f>AD20*(1+'Pricing Policies'!$C$14/100)*'Pricing Policies'!$F$11</f>
        <v>0</v>
      </c>
      <c r="AN20" s="178">
        <f t="shared" si="4"/>
        <v>403.9632171</v>
      </c>
      <c r="AO20" s="178">
        <f t="shared" si="5"/>
        <v>0</v>
      </c>
      <c r="AP20" s="178">
        <f t="shared" si="16"/>
        <v>403.9632171</v>
      </c>
      <c r="AQ20" s="179">
        <f t="shared" si="17"/>
        <v>405</v>
      </c>
      <c r="AR20" s="166">
        <f t="shared" si="6"/>
        <v>0.1</v>
      </c>
      <c r="AS20" s="176">
        <f t="shared" si="7"/>
        <v>40.5</v>
      </c>
      <c r="AT20" s="166">
        <f t="shared" si="8"/>
        <v>0.05</v>
      </c>
      <c r="AU20" s="176">
        <f t="shared" si="9"/>
        <v>22.275</v>
      </c>
      <c r="AV20" s="176">
        <f t="shared" si="18"/>
        <v>467.775</v>
      </c>
      <c r="AW20" s="180">
        <f t="shared" si="19"/>
        <v>470</v>
      </c>
      <c r="AX20" s="176">
        <f t="shared" si="10"/>
        <v>407.225</v>
      </c>
      <c r="AY20" s="181">
        <f t="shared" si="11"/>
        <v>101.80625</v>
      </c>
      <c r="AZ20" s="182">
        <f t="shared" si="12"/>
        <v>20.36125</v>
      </c>
      <c r="BA20" s="182">
        <f t="shared" si="20"/>
        <v>20.36125</v>
      </c>
    </row>
    <row r="21" ht="15.75" customHeight="1">
      <c r="A21" s="145" t="str">
        <f t="shared" si="13"/>
        <v>Cortona - TRF</v>
      </c>
      <c r="B21" s="145" t="s">
        <v>431</v>
      </c>
      <c r="C21" s="152" t="s">
        <v>79</v>
      </c>
      <c r="D21" s="146">
        <v>3.0</v>
      </c>
      <c r="E21" s="146">
        <v>150.0</v>
      </c>
      <c r="F21" s="111">
        <v>0.0</v>
      </c>
      <c r="G21" s="111"/>
      <c r="H21" s="111"/>
      <c r="I21" s="111"/>
      <c r="J21" s="111"/>
      <c r="K21" s="147"/>
      <c r="M21" s="173">
        <f>(E21)*'Base Operating Costs'!$B$13</f>
        <v>28.5</v>
      </c>
      <c r="N21" s="173">
        <f>(E21)*'Base Operating Costs'!$B$14</f>
        <v>21.10758197</v>
      </c>
      <c r="O21" s="173">
        <f>'Base Operating Costs'!$B$15*(E21)</f>
        <v>24.15028125</v>
      </c>
      <c r="P21" s="173">
        <f>D21*'Base Operating Costs'!$B$4</f>
        <v>66</v>
      </c>
      <c r="Q21" s="174">
        <f t="shared" si="2"/>
        <v>0</v>
      </c>
      <c r="R21" s="174">
        <f t="shared" si="14"/>
        <v>139.7578632</v>
      </c>
      <c r="S21" s="175">
        <f t="shared" si="15"/>
        <v>145.7407285</v>
      </c>
      <c r="T21" s="176">
        <f>S21*(1+'Pricing Policies'!$C$5/100)*'Pricing Policies'!$D$4*IF($C21="TRF",1,(1+Markups!$B$4/100))</f>
        <v>168.4762822</v>
      </c>
      <c r="U21" s="176">
        <f>S21*(1+'Pricing Policies'!$C$5/100)*'Pricing Policies'!$E$4*IF($C21="TRF",1,(1+Markups!$B$4/100))</f>
        <v>198.2073908</v>
      </c>
      <c r="V21" s="176">
        <f>S21*(1+'Pricing Policies'!$C$5/100)*'Pricing Policies'!$F$4*IF($C21="TRF",1,(1+Markups!$B$4/100))</f>
        <v>237.8488689</v>
      </c>
      <c r="W21" s="176">
        <f>S21*(1+'Pricing Policies'!$C$6/100)*'Pricing Policies'!$D$4*IF($C21="TRF",1,(1+Markups!$B$4/100))</f>
        <v>179.6254479</v>
      </c>
      <c r="X21" s="176">
        <f>S21*(1+'Pricing Policies'!$C$6/100)*'Pricing Policies'!$E$4*IF($C21="TRF",1,(1+Markups!$B$4/100))</f>
        <v>211.3240563</v>
      </c>
      <c r="Y21" s="176">
        <f>S21*(1+'Pricing Policies'!$C$6/100)*'Pricing Policies'!$F$4*IF($C21="TRF",1,(1+Markups!$B$4/100))</f>
        <v>253.5888676</v>
      </c>
      <c r="Z21" s="176">
        <f>S21*(1+'Pricing Policies'!$C$7/100)*'Pricing Policies'!$D$4*IF($C21="TRF",1,(1+Markups!$B$4/100))</f>
        <v>196.3491965</v>
      </c>
      <c r="AA21" s="176">
        <f>S21*(1+'Pricing Policies'!$C$7/100)*'Pricing Policies'!$E$4*IF($C21="TRF",1,(1+Markups!$B$4/100))</f>
        <v>230.9990547</v>
      </c>
      <c r="AB21" s="176">
        <f>S21*(1+'Pricing Policies'!$C$7/100)*'Pricing Policies'!$F$4*IF($C21="TRF",1,(1+Markups!$B$4/100))</f>
        <v>277.1988656</v>
      </c>
      <c r="AC21" s="73">
        <f t="shared" si="21"/>
        <v>2</v>
      </c>
      <c r="AD21" s="177">
        <f t="shared" si="3"/>
        <v>0</v>
      </c>
      <c r="AE21" s="178">
        <f>AD21*(1+'Pricing Policies'!$C$12/100)*'Pricing Policies'!$D$11</f>
        <v>0</v>
      </c>
      <c r="AF21" s="178">
        <f>AD21*(1+'Pricing Policies'!$C$12/100)*'Pricing Policies'!$E$11</f>
        <v>0</v>
      </c>
      <c r="AG21" s="178">
        <f>AD21*(1+'Pricing Policies'!$C$12/100)*'Pricing Policies'!$F$11</f>
        <v>0</v>
      </c>
      <c r="AH21" s="178">
        <f>AD21*(1+'Pricing Policies'!$C$13/100)*'Pricing Policies'!$D$11</f>
        <v>0</v>
      </c>
      <c r="AI21" s="178">
        <f>AD21*(1+'Pricing Policies'!$C$13/100)*'Pricing Policies'!$E$11</f>
        <v>0</v>
      </c>
      <c r="AJ21" s="178">
        <f>AD21*(1+'Pricing Policies'!$C$13/100)*'Pricing Policies'!$F$11</f>
        <v>0</v>
      </c>
      <c r="AK21" s="178">
        <f>AD21*(1+'Pricing Policies'!$C$14/100)*'Pricing Policies'!$D$11</f>
        <v>0</v>
      </c>
      <c r="AL21" s="178">
        <f>AD21*(1+'Pricing Policies'!$C$14/100)*'Pricing Policies'!$E$11</f>
        <v>0</v>
      </c>
      <c r="AM21" s="178">
        <f>AD21*(1+'Pricing Policies'!$C$14/100)*'Pricing Policies'!$F$11</f>
        <v>0</v>
      </c>
      <c r="AN21" s="178">
        <f t="shared" si="4"/>
        <v>198.2073908</v>
      </c>
      <c r="AO21" s="178">
        <f t="shared" si="5"/>
        <v>0</v>
      </c>
      <c r="AP21" s="178">
        <f t="shared" si="16"/>
        <v>198.2073908</v>
      </c>
      <c r="AQ21" s="179">
        <f t="shared" si="17"/>
        <v>200</v>
      </c>
      <c r="AR21" s="166">
        <f t="shared" si="6"/>
        <v>0.1</v>
      </c>
      <c r="AS21" s="176">
        <f t="shared" si="7"/>
        <v>20</v>
      </c>
      <c r="AT21" s="166">
        <f t="shared" si="8"/>
        <v>0.05</v>
      </c>
      <c r="AU21" s="176">
        <f t="shared" si="9"/>
        <v>11</v>
      </c>
      <c r="AV21" s="176">
        <f t="shared" si="18"/>
        <v>231</v>
      </c>
      <c r="AW21" s="180">
        <f t="shared" si="19"/>
        <v>235</v>
      </c>
      <c r="AX21" s="176">
        <f t="shared" si="10"/>
        <v>204</v>
      </c>
      <c r="AY21" s="181">
        <f t="shared" si="11"/>
        <v>51</v>
      </c>
      <c r="AZ21" s="182">
        <f t="shared" si="12"/>
        <v>17</v>
      </c>
      <c r="BA21" s="182">
        <f t="shared" si="20"/>
        <v>17</v>
      </c>
    </row>
    <row r="22" ht="15.75" customHeight="1">
      <c r="A22" s="145" t="str">
        <f t="shared" si="13"/>
        <v>Grosseto - TRF</v>
      </c>
      <c r="B22" s="145" t="s">
        <v>432</v>
      </c>
      <c r="C22" s="152" t="s">
        <v>79</v>
      </c>
      <c r="D22" s="146">
        <v>3.0</v>
      </c>
      <c r="E22" s="146">
        <v>150.0</v>
      </c>
      <c r="F22" s="111">
        <v>0.0</v>
      </c>
      <c r="G22" s="111"/>
      <c r="H22" s="111"/>
      <c r="I22" s="111"/>
      <c r="J22" s="111"/>
      <c r="K22" s="147"/>
      <c r="M22" s="173">
        <f>(E22)*'Base Operating Costs'!$B$13</f>
        <v>28.5</v>
      </c>
      <c r="N22" s="173">
        <f>(E22)*'Base Operating Costs'!$B$14</f>
        <v>21.10758197</v>
      </c>
      <c r="O22" s="173">
        <f>'Base Operating Costs'!$B$15*(E22)</f>
        <v>24.15028125</v>
      </c>
      <c r="P22" s="173">
        <f>D22*'Base Operating Costs'!$B$4</f>
        <v>66</v>
      </c>
      <c r="Q22" s="174">
        <f t="shared" si="2"/>
        <v>0</v>
      </c>
      <c r="R22" s="174">
        <f t="shared" si="14"/>
        <v>139.7578632</v>
      </c>
      <c r="S22" s="175">
        <f t="shared" si="15"/>
        <v>145.7407285</v>
      </c>
      <c r="T22" s="176">
        <f>S22*(1+'Pricing Policies'!$C$5/100)*'Pricing Policies'!$D$4*IF($C22="TRF",1,(1+Markups!$B$4/100))</f>
        <v>168.4762822</v>
      </c>
      <c r="U22" s="176">
        <f>S22*(1+'Pricing Policies'!$C$5/100)*'Pricing Policies'!$E$4*IF($C22="TRF",1,(1+Markups!$B$4/100))</f>
        <v>198.2073908</v>
      </c>
      <c r="V22" s="176">
        <f>S22*(1+'Pricing Policies'!$C$5/100)*'Pricing Policies'!$F$4*IF($C22="TRF",1,(1+Markups!$B$4/100))</f>
        <v>237.8488689</v>
      </c>
      <c r="W22" s="176">
        <f>S22*(1+'Pricing Policies'!$C$6/100)*'Pricing Policies'!$D$4*IF($C22="TRF",1,(1+Markups!$B$4/100))</f>
        <v>179.6254479</v>
      </c>
      <c r="X22" s="176">
        <f>S22*(1+'Pricing Policies'!$C$6/100)*'Pricing Policies'!$E$4*IF($C22="TRF",1,(1+Markups!$B$4/100))</f>
        <v>211.3240563</v>
      </c>
      <c r="Y22" s="176">
        <f>S22*(1+'Pricing Policies'!$C$6/100)*'Pricing Policies'!$F$4*IF($C22="TRF",1,(1+Markups!$B$4/100))</f>
        <v>253.5888676</v>
      </c>
      <c r="Z22" s="176">
        <f>S22*(1+'Pricing Policies'!$C$7/100)*'Pricing Policies'!$D$4*IF($C22="TRF",1,(1+Markups!$B$4/100))</f>
        <v>196.3491965</v>
      </c>
      <c r="AA22" s="176">
        <f>S22*(1+'Pricing Policies'!$C$7/100)*'Pricing Policies'!$E$4*IF($C22="TRF",1,(1+Markups!$B$4/100))</f>
        <v>230.9990547</v>
      </c>
      <c r="AB22" s="176">
        <f>S22*(1+'Pricing Policies'!$C$7/100)*'Pricing Policies'!$F$4*IF($C22="TRF",1,(1+Markups!$B$4/100))</f>
        <v>277.1988656</v>
      </c>
      <c r="AC22" s="73">
        <f t="shared" si="21"/>
        <v>2</v>
      </c>
      <c r="AD22" s="177">
        <f t="shared" si="3"/>
        <v>0</v>
      </c>
      <c r="AE22" s="178">
        <f>AD22*(1+'Pricing Policies'!$C$12/100)*'Pricing Policies'!$D$11</f>
        <v>0</v>
      </c>
      <c r="AF22" s="178">
        <f>AD22*(1+'Pricing Policies'!$C$12/100)*'Pricing Policies'!$E$11</f>
        <v>0</v>
      </c>
      <c r="AG22" s="178">
        <f>AD22*(1+'Pricing Policies'!$C$12/100)*'Pricing Policies'!$F$11</f>
        <v>0</v>
      </c>
      <c r="AH22" s="178">
        <f>AD22*(1+'Pricing Policies'!$C$13/100)*'Pricing Policies'!$D$11</f>
        <v>0</v>
      </c>
      <c r="AI22" s="178">
        <f>AD22*(1+'Pricing Policies'!$C$13/100)*'Pricing Policies'!$E$11</f>
        <v>0</v>
      </c>
      <c r="AJ22" s="178">
        <f>AD22*(1+'Pricing Policies'!$C$13/100)*'Pricing Policies'!$F$11</f>
        <v>0</v>
      </c>
      <c r="AK22" s="178">
        <f>AD22*(1+'Pricing Policies'!$C$14/100)*'Pricing Policies'!$D$11</f>
        <v>0</v>
      </c>
      <c r="AL22" s="178">
        <f>AD22*(1+'Pricing Policies'!$C$14/100)*'Pricing Policies'!$E$11</f>
        <v>0</v>
      </c>
      <c r="AM22" s="178">
        <f>AD22*(1+'Pricing Policies'!$C$14/100)*'Pricing Policies'!$F$11</f>
        <v>0</v>
      </c>
      <c r="AN22" s="178">
        <f t="shared" si="4"/>
        <v>198.2073908</v>
      </c>
      <c r="AO22" s="178">
        <f t="shared" si="5"/>
        <v>0</v>
      </c>
      <c r="AP22" s="178">
        <f t="shared" si="16"/>
        <v>198.2073908</v>
      </c>
      <c r="AQ22" s="179">
        <f t="shared" si="17"/>
        <v>200</v>
      </c>
      <c r="AR22" s="166">
        <f t="shared" si="6"/>
        <v>0.1</v>
      </c>
      <c r="AS22" s="176">
        <f t="shared" si="7"/>
        <v>20</v>
      </c>
      <c r="AT22" s="166">
        <f t="shared" si="8"/>
        <v>0.05</v>
      </c>
      <c r="AU22" s="176">
        <f t="shared" si="9"/>
        <v>11</v>
      </c>
      <c r="AV22" s="176">
        <f t="shared" si="18"/>
        <v>231</v>
      </c>
      <c r="AW22" s="180">
        <f t="shared" si="19"/>
        <v>235</v>
      </c>
      <c r="AX22" s="176">
        <f t="shared" si="10"/>
        <v>204</v>
      </c>
      <c r="AY22" s="181">
        <f t="shared" si="11"/>
        <v>51</v>
      </c>
      <c r="AZ22" s="182">
        <f t="shared" si="12"/>
        <v>17</v>
      </c>
      <c r="BA22" s="182">
        <f t="shared" si="20"/>
        <v>17</v>
      </c>
    </row>
    <row r="23" ht="15.75" customHeight="1">
      <c r="A23" s="145" t="str">
        <f t="shared" si="13"/>
        <v>Como - TRF</v>
      </c>
      <c r="B23" s="145" t="s">
        <v>433</v>
      </c>
      <c r="C23" s="152" t="s">
        <v>79</v>
      </c>
      <c r="D23" s="146">
        <v>10.0</v>
      </c>
      <c r="E23" s="146">
        <v>840.0</v>
      </c>
      <c r="F23" s="111">
        <v>65.0</v>
      </c>
      <c r="G23" s="111"/>
      <c r="H23" s="111"/>
      <c r="I23" s="111"/>
      <c r="J23" s="111"/>
      <c r="K23" s="147"/>
      <c r="M23" s="173">
        <f>(E23)*'Base Operating Costs'!$B$13</f>
        <v>159.6</v>
      </c>
      <c r="N23" s="173">
        <f>(E23)*'Base Operating Costs'!$B$14</f>
        <v>118.202459</v>
      </c>
      <c r="O23" s="173">
        <f>'Base Operating Costs'!$B$15*(E23)</f>
        <v>135.241575</v>
      </c>
      <c r="P23" s="173">
        <f>D23*'Base Operating Costs'!$B$4</f>
        <v>220</v>
      </c>
      <c r="Q23" s="174">
        <f t="shared" si="2"/>
        <v>65</v>
      </c>
      <c r="R23" s="174">
        <f t="shared" si="14"/>
        <v>698.044034</v>
      </c>
      <c r="S23" s="175">
        <f t="shared" si="15"/>
        <v>628.2396365</v>
      </c>
      <c r="T23" s="176">
        <f>S23*(1+'Pricing Policies'!$C$5/100)*'Pricing Policies'!$D$4*IF($C23="TRF",1,(1+Markups!$B$4/100))</f>
        <v>726.2450198</v>
      </c>
      <c r="U23" s="176">
        <f>S23*(1+'Pricing Policies'!$C$5/100)*'Pricing Policies'!$E$4*IF($C23="TRF",1,(1+Markups!$B$4/100))</f>
        <v>854.4059057</v>
      </c>
      <c r="V23" s="176">
        <f>S23*(1+'Pricing Policies'!$C$5/100)*'Pricing Policies'!$F$4*IF($C23="TRF",1,(1+Markups!$B$4/100))</f>
        <v>1025.287087</v>
      </c>
      <c r="W23" s="176">
        <f>S23*(1+'Pricing Policies'!$C$6/100)*'Pricing Policies'!$D$4*IF($C23="TRF",1,(1+Markups!$B$4/100))</f>
        <v>774.305352</v>
      </c>
      <c r="X23" s="176">
        <f>S23*(1+'Pricing Policies'!$C$6/100)*'Pricing Policies'!$E$4*IF($C23="TRF",1,(1+Markups!$B$4/100))</f>
        <v>910.9474729</v>
      </c>
      <c r="Y23" s="176">
        <f>S23*(1+'Pricing Policies'!$C$6/100)*'Pricing Policies'!$F$4*IF($C23="TRF",1,(1+Markups!$B$4/100))</f>
        <v>1093.136968</v>
      </c>
      <c r="Z23" s="176">
        <f>S23*(1+'Pricing Policies'!$C$7/100)*'Pricing Policies'!$D$4*IF($C23="TRF",1,(1+Markups!$B$4/100))</f>
        <v>846.3958503</v>
      </c>
      <c r="AA23" s="176">
        <f>S23*(1+'Pricing Policies'!$C$7/100)*'Pricing Policies'!$E$4*IF($C23="TRF",1,(1+Markups!$B$4/100))</f>
        <v>995.7598239</v>
      </c>
      <c r="AB23" s="176">
        <f>S23*(1+'Pricing Policies'!$C$7/100)*'Pricing Policies'!$F$4*IF($C23="TRF",1,(1+Markups!$B$4/100))</f>
        <v>1194.911789</v>
      </c>
      <c r="AC23" s="73">
        <f t="shared" si="21"/>
        <v>2</v>
      </c>
      <c r="AD23" s="177">
        <f t="shared" si="3"/>
        <v>0</v>
      </c>
      <c r="AE23" s="178">
        <f>AD23*(1+'Pricing Policies'!$C$12/100)*'Pricing Policies'!$D$11</f>
        <v>0</v>
      </c>
      <c r="AF23" s="178">
        <f>AD23*(1+'Pricing Policies'!$C$12/100)*'Pricing Policies'!$E$11</f>
        <v>0</v>
      </c>
      <c r="AG23" s="178">
        <f>AD23*(1+'Pricing Policies'!$C$12/100)*'Pricing Policies'!$F$11</f>
        <v>0</v>
      </c>
      <c r="AH23" s="178">
        <f>AD23*(1+'Pricing Policies'!$C$13/100)*'Pricing Policies'!$D$11</f>
        <v>0</v>
      </c>
      <c r="AI23" s="178">
        <f>AD23*(1+'Pricing Policies'!$C$13/100)*'Pricing Policies'!$E$11</f>
        <v>0</v>
      </c>
      <c r="AJ23" s="178">
        <f>AD23*(1+'Pricing Policies'!$C$13/100)*'Pricing Policies'!$F$11</f>
        <v>0</v>
      </c>
      <c r="AK23" s="178">
        <f>AD23*(1+'Pricing Policies'!$C$14/100)*'Pricing Policies'!$D$11</f>
        <v>0</v>
      </c>
      <c r="AL23" s="178">
        <f>AD23*(1+'Pricing Policies'!$C$14/100)*'Pricing Policies'!$E$11</f>
        <v>0</v>
      </c>
      <c r="AM23" s="178">
        <f>AD23*(1+'Pricing Policies'!$C$14/100)*'Pricing Policies'!$F$11</f>
        <v>0</v>
      </c>
      <c r="AN23" s="178">
        <f t="shared" si="4"/>
        <v>854.4059057</v>
      </c>
      <c r="AO23" s="178">
        <f t="shared" si="5"/>
        <v>0</v>
      </c>
      <c r="AP23" s="178">
        <f t="shared" si="16"/>
        <v>854.4059057</v>
      </c>
      <c r="AQ23" s="179">
        <f t="shared" si="17"/>
        <v>855</v>
      </c>
      <c r="AR23" s="166">
        <f t="shared" si="6"/>
        <v>0.1</v>
      </c>
      <c r="AS23" s="176">
        <f t="shared" si="7"/>
        <v>85.5</v>
      </c>
      <c r="AT23" s="166">
        <f t="shared" si="8"/>
        <v>0.05</v>
      </c>
      <c r="AU23" s="176">
        <f t="shared" si="9"/>
        <v>47.025</v>
      </c>
      <c r="AV23" s="176">
        <f t="shared" si="18"/>
        <v>987.525</v>
      </c>
      <c r="AW23" s="180">
        <f t="shared" si="19"/>
        <v>990</v>
      </c>
      <c r="AX23" s="176">
        <f t="shared" si="10"/>
        <v>857.475</v>
      </c>
      <c r="AY23" s="181">
        <f t="shared" si="11"/>
        <v>214.36875</v>
      </c>
      <c r="AZ23" s="182">
        <f t="shared" si="12"/>
        <v>21.436875</v>
      </c>
      <c r="BA23" s="182">
        <f t="shared" si="20"/>
        <v>21.436875</v>
      </c>
    </row>
    <row r="24" ht="15.75" customHeight="1">
      <c r="A24" s="145" t="str">
        <f t="shared" si="13"/>
        <v>Bologna - TRF</v>
      </c>
      <c r="B24" s="145" t="s">
        <v>434</v>
      </c>
      <c r="C24" s="152" t="s">
        <v>79</v>
      </c>
      <c r="D24" s="146">
        <v>5.0</v>
      </c>
      <c r="E24" s="146">
        <v>340.0</v>
      </c>
      <c r="F24" s="111">
        <v>20.0</v>
      </c>
      <c r="G24" s="111"/>
      <c r="H24" s="111"/>
      <c r="I24" s="111"/>
      <c r="J24" s="111"/>
      <c r="K24" s="147"/>
      <c r="M24" s="173">
        <f>(E24)*'Base Operating Costs'!$B$13</f>
        <v>64.6</v>
      </c>
      <c r="N24" s="173">
        <f>(E24)*'Base Operating Costs'!$B$14</f>
        <v>47.84385246</v>
      </c>
      <c r="O24" s="173">
        <f>'Base Operating Costs'!$B$15*(E24)</f>
        <v>54.7406375</v>
      </c>
      <c r="P24" s="173">
        <f>D24*'Base Operating Costs'!$B$4</f>
        <v>110</v>
      </c>
      <c r="Q24" s="174">
        <f t="shared" si="2"/>
        <v>20</v>
      </c>
      <c r="R24" s="174">
        <f t="shared" si="14"/>
        <v>297.18449</v>
      </c>
      <c r="S24" s="175">
        <f t="shared" si="15"/>
        <v>297.3710726</v>
      </c>
      <c r="T24" s="176">
        <f>S24*(1+'Pricing Policies'!$C$5/100)*'Pricing Policies'!$D$4*IF($C24="TRF",1,(1+Markups!$B$4/100))</f>
        <v>343.76096</v>
      </c>
      <c r="U24" s="176">
        <f>S24*(1+'Pricing Policies'!$C$5/100)*'Pricing Policies'!$E$4*IF($C24="TRF",1,(1+Markups!$B$4/100))</f>
        <v>404.4246588</v>
      </c>
      <c r="V24" s="176">
        <f>S24*(1+'Pricing Policies'!$C$5/100)*'Pricing Policies'!$F$4*IF($C24="TRF",1,(1+Markups!$B$4/100))</f>
        <v>485.3095905</v>
      </c>
      <c r="W24" s="176">
        <f>S24*(1+'Pricing Policies'!$C$6/100)*'Pricing Policies'!$D$4*IF($C24="TRF",1,(1+Markups!$B$4/100))</f>
        <v>366.509847</v>
      </c>
      <c r="X24" s="176">
        <f>S24*(1+'Pricing Policies'!$C$6/100)*'Pricing Policies'!$E$4*IF($C24="TRF",1,(1+Markups!$B$4/100))</f>
        <v>431.1880553</v>
      </c>
      <c r="Y24" s="176">
        <f>S24*(1+'Pricing Policies'!$C$6/100)*'Pricing Policies'!$F$4*IF($C24="TRF",1,(1+Markups!$B$4/100))</f>
        <v>517.4256664</v>
      </c>
      <c r="Z24" s="176">
        <f>S24*(1+'Pricing Policies'!$C$7/100)*'Pricing Policies'!$D$4*IF($C24="TRF",1,(1+Markups!$B$4/100))</f>
        <v>400.6331776</v>
      </c>
      <c r="AA24" s="176">
        <f>S24*(1+'Pricing Policies'!$C$7/100)*'Pricing Policies'!$E$4*IF($C24="TRF",1,(1+Markups!$B$4/100))</f>
        <v>471.3331501</v>
      </c>
      <c r="AB24" s="176">
        <f>S24*(1+'Pricing Policies'!$C$7/100)*'Pricing Policies'!$F$4*IF($C24="TRF",1,(1+Markups!$B$4/100))</f>
        <v>565.5997801</v>
      </c>
      <c r="AC24" s="73">
        <f t="shared" si="21"/>
        <v>2</v>
      </c>
      <c r="AD24" s="177">
        <f t="shared" si="3"/>
        <v>0</v>
      </c>
      <c r="AE24" s="178">
        <f>AD24*(1+'Pricing Policies'!$C$12/100)*'Pricing Policies'!$D$11</f>
        <v>0</v>
      </c>
      <c r="AF24" s="178">
        <f>AD24*(1+'Pricing Policies'!$C$12/100)*'Pricing Policies'!$E$11</f>
        <v>0</v>
      </c>
      <c r="AG24" s="178">
        <f>AD24*(1+'Pricing Policies'!$C$12/100)*'Pricing Policies'!$F$11</f>
        <v>0</v>
      </c>
      <c r="AH24" s="178">
        <f>AD24*(1+'Pricing Policies'!$C$13/100)*'Pricing Policies'!$D$11</f>
        <v>0</v>
      </c>
      <c r="AI24" s="178">
        <f>AD24*(1+'Pricing Policies'!$C$13/100)*'Pricing Policies'!$E$11</f>
        <v>0</v>
      </c>
      <c r="AJ24" s="178">
        <f>AD24*(1+'Pricing Policies'!$C$13/100)*'Pricing Policies'!$F$11</f>
        <v>0</v>
      </c>
      <c r="AK24" s="178">
        <f>AD24*(1+'Pricing Policies'!$C$14/100)*'Pricing Policies'!$D$11</f>
        <v>0</v>
      </c>
      <c r="AL24" s="178">
        <f>AD24*(1+'Pricing Policies'!$C$14/100)*'Pricing Policies'!$E$11</f>
        <v>0</v>
      </c>
      <c r="AM24" s="178">
        <f>AD24*(1+'Pricing Policies'!$C$14/100)*'Pricing Policies'!$F$11</f>
        <v>0</v>
      </c>
      <c r="AN24" s="178">
        <f t="shared" si="4"/>
        <v>404.4246588</v>
      </c>
      <c r="AO24" s="178">
        <f t="shared" si="5"/>
        <v>0</v>
      </c>
      <c r="AP24" s="178">
        <f t="shared" si="16"/>
        <v>404.4246588</v>
      </c>
      <c r="AQ24" s="179">
        <f t="shared" si="17"/>
        <v>405</v>
      </c>
      <c r="AR24" s="166">
        <f t="shared" si="6"/>
        <v>0.1</v>
      </c>
      <c r="AS24" s="176">
        <f t="shared" si="7"/>
        <v>40.5</v>
      </c>
      <c r="AT24" s="166">
        <f t="shared" si="8"/>
        <v>0.05</v>
      </c>
      <c r="AU24" s="176">
        <f t="shared" si="9"/>
        <v>22.275</v>
      </c>
      <c r="AV24" s="176">
        <f t="shared" si="18"/>
        <v>467.775</v>
      </c>
      <c r="AW24" s="180">
        <f t="shared" si="19"/>
        <v>470</v>
      </c>
      <c r="AX24" s="176">
        <f t="shared" si="10"/>
        <v>407.225</v>
      </c>
      <c r="AY24" s="181">
        <f t="shared" si="11"/>
        <v>101.80625</v>
      </c>
      <c r="AZ24" s="182">
        <f t="shared" si="12"/>
        <v>20.36125</v>
      </c>
      <c r="BA24" s="182">
        <f t="shared" si="20"/>
        <v>20.36125</v>
      </c>
    </row>
    <row r="25" ht="15.75" customHeight="1">
      <c r="A25" s="145" t="str">
        <f t="shared" si="13"/>
        <v>Firenze - TRF</v>
      </c>
      <c r="B25" s="145" t="s">
        <v>435</v>
      </c>
      <c r="C25" s="152" t="s">
        <v>79</v>
      </c>
      <c r="D25" s="146">
        <v>3.0</v>
      </c>
      <c r="E25" s="146">
        <v>150.0</v>
      </c>
      <c r="F25" s="111">
        <v>0.0</v>
      </c>
      <c r="G25" s="111"/>
      <c r="H25" s="111"/>
      <c r="I25" s="111"/>
      <c r="J25" s="111"/>
      <c r="K25" s="147"/>
      <c r="M25" s="173">
        <f>(E25)*'Base Operating Costs'!$B$13</f>
        <v>28.5</v>
      </c>
      <c r="N25" s="173">
        <f>(E25)*'Base Operating Costs'!$B$14</f>
        <v>21.10758197</v>
      </c>
      <c r="O25" s="173">
        <f>'Base Operating Costs'!$B$15*(E25)</f>
        <v>24.15028125</v>
      </c>
      <c r="P25" s="173">
        <f>D25*'Base Operating Costs'!$B$4</f>
        <v>66</v>
      </c>
      <c r="Q25" s="174">
        <f t="shared" si="2"/>
        <v>0</v>
      </c>
      <c r="R25" s="174">
        <f t="shared" si="14"/>
        <v>139.7578632</v>
      </c>
      <c r="S25" s="175">
        <f t="shared" si="15"/>
        <v>145.7407285</v>
      </c>
      <c r="T25" s="176">
        <f>S25*(1+'Pricing Policies'!$C$5/100)*'Pricing Policies'!$D$4*IF($C25="TRF",1,(1+Markups!$B$4/100))</f>
        <v>168.4762822</v>
      </c>
      <c r="U25" s="176">
        <f>S25*(1+'Pricing Policies'!$C$5/100)*'Pricing Policies'!$E$4*IF($C25="TRF",1,(1+Markups!$B$4/100))</f>
        <v>198.2073908</v>
      </c>
      <c r="V25" s="176">
        <f>S25*(1+'Pricing Policies'!$C$5/100)*'Pricing Policies'!$F$4*IF($C25="TRF",1,(1+Markups!$B$4/100))</f>
        <v>237.8488689</v>
      </c>
      <c r="W25" s="176">
        <f>S25*(1+'Pricing Policies'!$C$6/100)*'Pricing Policies'!$D$4*IF($C25="TRF",1,(1+Markups!$B$4/100))</f>
        <v>179.6254479</v>
      </c>
      <c r="X25" s="176">
        <f>S25*(1+'Pricing Policies'!$C$6/100)*'Pricing Policies'!$E$4*IF($C25="TRF",1,(1+Markups!$B$4/100))</f>
        <v>211.3240563</v>
      </c>
      <c r="Y25" s="176">
        <f>S25*(1+'Pricing Policies'!$C$6/100)*'Pricing Policies'!$F$4*IF($C25="TRF",1,(1+Markups!$B$4/100))</f>
        <v>253.5888676</v>
      </c>
      <c r="Z25" s="176">
        <f>S25*(1+'Pricing Policies'!$C$7/100)*'Pricing Policies'!$D$4*IF($C25="TRF",1,(1+Markups!$B$4/100))</f>
        <v>196.3491965</v>
      </c>
      <c r="AA25" s="176">
        <f>S25*(1+'Pricing Policies'!$C$7/100)*'Pricing Policies'!$E$4*IF($C25="TRF",1,(1+Markups!$B$4/100))</f>
        <v>230.9990547</v>
      </c>
      <c r="AB25" s="176">
        <f>S25*(1+'Pricing Policies'!$C$7/100)*'Pricing Policies'!$F$4*IF($C25="TRF",1,(1+Markups!$B$4/100))</f>
        <v>277.1988656</v>
      </c>
      <c r="AC25" s="73">
        <f t="shared" si="21"/>
        <v>2</v>
      </c>
      <c r="AD25" s="177">
        <f t="shared" si="3"/>
        <v>0</v>
      </c>
      <c r="AE25" s="178">
        <f>AD25*(1+'Pricing Policies'!$C$12/100)*'Pricing Policies'!$D$11</f>
        <v>0</v>
      </c>
      <c r="AF25" s="178">
        <f>AD25*(1+'Pricing Policies'!$C$12/100)*'Pricing Policies'!$E$11</f>
        <v>0</v>
      </c>
      <c r="AG25" s="178">
        <f>AD25*(1+'Pricing Policies'!$C$12/100)*'Pricing Policies'!$F$11</f>
        <v>0</v>
      </c>
      <c r="AH25" s="178">
        <f>AD25*(1+'Pricing Policies'!$C$13/100)*'Pricing Policies'!$D$11</f>
        <v>0</v>
      </c>
      <c r="AI25" s="178">
        <f>AD25*(1+'Pricing Policies'!$C$13/100)*'Pricing Policies'!$E$11</f>
        <v>0</v>
      </c>
      <c r="AJ25" s="178">
        <f>AD25*(1+'Pricing Policies'!$C$13/100)*'Pricing Policies'!$F$11</f>
        <v>0</v>
      </c>
      <c r="AK25" s="178">
        <f>AD25*(1+'Pricing Policies'!$C$14/100)*'Pricing Policies'!$D$11</f>
        <v>0</v>
      </c>
      <c r="AL25" s="178">
        <f>AD25*(1+'Pricing Policies'!$C$14/100)*'Pricing Policies'!$E$11</f>
        <v>0</v>
      </c>
      <c r="AM25" s="178">
        <f>AD25*(1+'Pricing Policies'!$C$14/100)*'Pricing Policies'!$F$11</f>
        <v>0</v>
      </c>
      <c r="AN25" s="178">
        <f t="shared" si="4"/>
        <v>198.2073908</v>
      </c>
      <c r="AO25" s="178">
        <f t="shared" si="5"/>
        <v>0</v>
      </c>
      <c r="AP25" s="178">
        <f t="shared" si="16"/>
        <v>198.2073908</v>
      </c>
      <c r="AQ25" s="179">
        <f t="shared" si="17"/>
        <v>200</v>
      </c>
      <c r="AR25" s="166">
        <f t="shared" si="6"/>
        <v>0.1</v>
      </c>
      <c r="AS25" s="176">
        <f t="shared" si="7"/>
        <v>20</v>
      </c>
      <c r="AT25" s="166">
        <f t="shared" si="8"/>
        <v>0.05</v>
      </c>
      <c r="AU25" s="176">
        <f t="shared" si="9"/>
        <v>11</v>
      </c>
      <c r="AV25" s="176">
        <f t="shared" si="18"/>
        <v>231</v>
      </c>
      <c r="AW25" s="180">
        <f t="shared" si="19"/>
        <v>235</v>
      </c>
      <c r="AX25" s="176">
        <f t="shared" si="10"/>
        <v>204</v>
      </c>
      <c r="AY25" s="181">
        <f t="shared" si="11"/>
        <v>51</v>
      </c>
      <c r="AZ25" s="182">
        <f t="shared" si="12"/>
        <v>17</v>
      </c>
      <c r="BA25" s="182">
        <f t="shared" si="20"/>
        <v>17</v>
      </c>
    </row>
    <row r="26" ht="15.75" customHeight="1">
      <c r="A26" s="145" t="str">
        <f t="shared" si="13"/>
        <v>Genova - TRF</v>
      </c>
      <c r="B26" s="145" t="s">
        <v>436</v>
      </c>
      <c r="C26" s="152" t="s">
        <v>79</v>
      </c>
      <c r="D26" s="146">
        <v>7.0</v>
      </c>
      <c r="E26" s="146">
        <v>600.0</v>
      </c>
      <c r="F26" s="111">
        <v>50.0</v>
      </c>
      <c r="G26" s="111"/>
      <c r="H26" s="111"/>
      <c r="I26" s="111"/>
      <c r="J26" s="111"/>
      <c r="K26" s="147"/>
      <c r="M26" s="173">
        <f>(E26)*'Base Operating Costs'!$B$13</f>
        <v>114</v>
      </c>
      <c r="N26" s="173">
        <f>(E26)*'Base Operating Costs'!$B$14</f>
        <v>84.43032787</v>
      </c>
      <c r="O26" s="173">
        <f>'Base Operating Costs'!$B$15*(E26)</f>
        <v>96.601125</v>
      </c>
      <c r="P26" s="173">
        <f>D26*'Base Operating Costs'!$B$4</f>
        <v>154</v>
      </c>
      <c r="Q26" s="174">
        <f t="shared" si="2"/>
        <v>50</v>
      </c>
      <c r="R26" s="174">
        <f t="shared" si="14"/>
        <v>499.0314529</v>
      </c>
      <c r="S26" s="175">
        <f t="shared" si="15"/>
        <v>449.1291805</v>
      </c>
      <c r="T26" s="176">
        <f>S26*(1+'Pricing Policies'!$C$5/100)*'Pricing Policies'!$D$4*IF($C26="TRF",1,(1+Markups!$B$4/100))</f>
        <v>519.1933326</v>
      </c>
      <c r="U26" s="176">
        <f>S26*(1+'Pricing Policies'!$C$5/100)*'Pricing Policies'!$E$4*IF($C26="TRF",1,(1+Markups!$B$4/100))</f>
        <v>610.8156854</v>
      </c>
      <c r="V26" s="176">
        <f>S26*(1+'Pricing Policies'!$C$5/100)*'Pricing Policies'!$F$4*IF($C26="TRF",1,(1+Markups!$B$4/100))</f>
        <v>732.9788225</v>
      </c>
      <c r="W26" s="176">
        <f>S26*(1+'Pricing Policies'!$C$6/100)*'Pricing Policies'!$D$4*IF($C26="TRF",1,(1+Markups!$B$4/100))</f>
        <v>553.5517149</v>
      </c>
      <c r="X26" s="176">
        <f>S26*(1+'Pricing Policies'!$C$6/100)*'Pricing Policies'!$E$4*IF($C26="TRF",1,(1+Markups!$B$4/100))</f>
        <v>651.2373117</v>
      </c>
      <c r="Y26" s="176">
        <f>S26*(1+'Pricing Policies'!$C$6/100)*'Pricing Policies'!$F$4*IF($C26="TRF",1,(1+Markups!$B$4/100))</f>
        <v>781.484774</v>
      </c>
      <c r="Z26" s="176">
        <f>S26*(1+'Pricing Policies'!$C$7/100)*'Pricing Policies'!$D$4*IF($C26="TRF",1,(1+Markups!$B$4/100))</f>
        <v>605.0892884</v>
      </c>
      <c r="AA26" s="176">
        <f>S26*(1+'Pricing Policies'!$C$7/100)*'Pricing Policies'!$E$4*IF($C26="TRF",1,(1+Markups!$B$4/100))</f>
        <v>711.869751</v>
      </c>
      <c r="AB26" s="176">
        <f>S26*(1+'Pricing Policies'!$C$7/100)*'Pricing Policies'!$F$4*IF($C26="TRF",1,(1+Markups!$B$4/100))</f>
        <v>854.2437013</v>
      </c>
      <c r="AC26" s="73">
        <f t="shared" si="21"/>
        <v>2</v>
      </c>
      <c r="AD26" s="177">
        <f t="shared" si="3"/>
        <v>0</v>
      </c>
      <c r="AE26" s="178">
        <f>AD26*(1+'Pricing Policies'!$C$12/100)*'Pricing Policies'!$D$11</f>
        <v>0</v>
      </c>
      <c r="AF26" s="178">
        <f>AD26*(1+'Pricing Policies'!$C$12/100)*'Pricing Policies'!$E$11</f>
        <v>0</v>
      </c>
      <c r="AG26" s="178">
        <f>AD26*(1+'Pricing Policies'!$C$12/100)*'Pricing Policies'!$F$11</f>
        <v>0</v>
      </c>
      <c r="AH26" s="178">
        <f>AD26*(1+'Pricing Policies'!$C$13/100)*'Pricing Policies'!$D$11</f>
        <v>0</v>
      </c>
      <c r="AI26" s="178">
        <f>AD26*(1+'Pricing Policies'!$C$13/100)*'Pricing Policies'!$E$11</f>
        <v>0</v>
      </c>
      <c r="AJ26" s="178">
        <f>AD26*(1+'Pricing Policies'!$C$13/100)*'Pricing Policies'!$F$11</f>
        <v>0</v>
      </c>
      <c r="AK26" s="178">
        <f>AD26*(1+'Pricing Policies'!$C$14/100)*'Pricing Policies'!$D$11</f>
        <v>0</v>
      </c>
      <c r="AL26" s="178">
        <f>AD26*(1+'Pricing Policies'!$C$14/100)*'Pricing Policies'!$E$11</f>
        <v>0</v>
      </c>
      <c r="AM26" s="178">
        <f>AD26*(1+'Pricing Policies'!$C$14/100)*'Pricing Policies'!$F$11</f>
        <v>0</v>
      </c>
      <c r="AN26" s="178">
        <f t="shared" si="4"/>
        <v>610.8156854</v>
      </c>
      <c r="AO26" s="178">
        <f t="shared" si="5"/>
        <v>0</v>
      </c>
      <c r="AP26" s="178">
        <f t="shared" si="16"/>
        <v>610.8156854</v>
      </c>
      <c r="AQ26" s="179">
        <f t="shared" si="17"/>
        <v>615</v>
      </c>
      <c r="AR26" s="166">
        <f t="shared" si="6"/>
        <v>0.1</v>
      </c>
      <c r="AS26" s="176">
        <f t="shared" si="7"/>
        <v>61.5</v>
      </c>
      <c r="AT26" s="166">
        <f t="shared" si="8"/>
        <v>0.05</v>
      </c>
      <c r="AU26" s="176">
        <f t="shared" si="9"/>
        <v>33.825</v>
      </c>
      <c r="AV26" s="176">
        <f t="shared" si="18"/>
        <v>710.325</v>
      </c>
      <c r="AW26" s="180">
        <f t="shared" si="19"/>
        <v>715</v>
      </c>
      <c r="AX26" s="176">
        <f t="shared" si="10"/>
        <v>619.675</v>
      </c>
      <c r="AY26" s="181">
        <f t="shared" si="11"/>
        <v>154.91875</v>
      </c>
      <c r="AZ26" s="182">
        <f t="shared" si="12"/>
        <v>22.13125</v>
      </c>
      <c r="BA26" s="182">
        <f t="shared" si="20"/>
        <v>22</v>
      </c>
    </row>
    <row r="27" ht="15.75" customHeight="1">
      <c r="A27" s="145" t="str">
        <f t="shared" si="13"/>
        <v>La Spezia - TRF</v>
      </c>
      <c r="B27" s="145" t="s">
        <v>437</v>
      </c>
      <c r="C27" s="152" t="s">
        <v>79</v>
      </c>
      <c r="D27" s="146">
        <v>5.0</v>
      </c>
      <c r="E27" s="146">
        <v>420.0</v>
      </c>
      <c r="F27" s="111">
        <v>30.0</v>
      </c>
      <c r="G27" s="111"/>
      <c r="H27" s="111"/>
      <c r="I27" s="111"/>
      <c r="J27" s="111"/>
      <c r="K27" s="147"/>
      <c r="M27" s="173">
        <f>(E27)*'Base Operating Costs'!$B$13</f>
        <v>79.8</v>
      </c>
      <c r="N27" s="173">
        <f>(E27)*'Base Operating Costs'!$B$14</f>
        <v>59.10122951</v>
      </c>
      <c r="O27" s="173">
        <f>'Base Operating Costs'!$B$15*(E27)</f>
        <v>67.6207875</v>
      </c>
      <c r="P27" s="173">
        <f>D27*'Base Operating Costs'!$B$4</f>
        <v>110</v>
      </c>
      <c r="Q27" s="174">
        <f t="shared" si="2"/>
        <v>30</v>
      </c>
      <c r="R27" s="174">
        <f t="shared" si="14"/>
        <v>346.522017</v>
      </c>
      <c r="S27" s="175">
        <f t="shared" si="15"/>
        <v>346.5587873</v>
      </c>
      <c r="T27" s="176">
        <f>S27*(1+'Pricing Policies'!$C$5/100)*'Pricing Policies'!$D$4*IF($C27="TRF",1,(1+Markups!$B$4/100))</f>
        <v>400.6219581</v>
      </c>
      <c r="U27" s="176">
        <f>S27*(1+'Pricing Policies'!$C$5/100)*'Pricing Policies'!$E$4*IF($C27="TRF",1,(1+Markups!$B$4/100))</f>
        <v>471.3199507</v>
      </c>
      <c r="V27" s="176">
        <f>S27*(1+'Pricing Policies'!$C$5/100)*'Pricing Policies'!$F$4*IF($C27="TRF",1,(1+Markups!$B$4/100))</f>
        <v>565.5839409</v>
      </c>
      <c r="W27" s="176">
        <f>S27*(1+'Pricing Policies'!$C$6/100)*'Pricing Policies'!$D$4*IF($C27="TRF",1,(1+Markups!$B$4/100))</f>
        <v>427.1337053</v>
      </c>
      <c r="X27" s="176">
        <f>S27*(1+'Pricing Policies'!$C$6/100)*'Pricing Policies'!$E$4*IF($C27="TRF",1,(1+Markups!$B$4/100))</f>
        <v>502.5102416</v>
      </c>
      <c r="Y27" s="176">
        <f>S27*(1+'Pricing Policies'!$C$6/100)*'Pricing Policies'!$F$4*IF($C27="TRF",1,(1+Markups!$B$4/100))</f>
        <v>603.0122899</v>
      </c>
      <c r="Z27" s="176">
        <f>S27*(1+'Pricing Policies'!$C$7/100)*'Pricing Policies'!$D$4*IF($C27="TRF",1,(1+Markups!$B$4/100))</f>
        <v>466.9013262</v>
      </c>
      <c r="AA27" s="176">
        <f>S27*(1+'Pricing Policies'!$C$7/100)*'Pricing Policies'!$E$4*IF($C27="TRF",1,(1+Markups!$B$4/100))</f>
        <v>549.2956778</v>
      </c>
      <c r="AB27" s="176">
        <f>S27*(1+'Pricing Policies'!$C$7/100)*'Pricing Policies'!$F$4*IF($C27="TRF",1,(1+Markups!$B$4/100))</f>
        <v>659.1548134</v>
      </c>
      <c r="AC27" s="73">
        <f t="shared" si="21"/>
        <v>2</v>
      </c>
      <c r="AD27" s="177">
        <f t="shared" si="3"/>
        <v>0</v>
      </c>
      <c r="AE27" s="178">
        <f>AD27*(1+'Pricing Policies'!$C$12/100)*'Pricing Policies'!$D$11</f>
        <v>0</v>
      </c>
      <c r="AF27" s="178">
        <f>AD27*(1+'Pricing Policies'!$C$12/100)*'Pricing Policies'!$E$11</f>
        <v>0</v>
      </c>
      <c r="AG27" s="178">
        <f>AD27*(1+'Pricing Policies'!$C$12/100)*'Pricing Policies'!$F$11</f>
        <v>0</v>
      </c>
      <c r="AH27" s="178">
        <f>AD27*(1+'Pricing Policies'!$C$13/100)*'Pricing Policies'!$D$11</f>
        <v>0</v>
      </c>
      <c r="AI27" s="178">
        <f>AD27*(1+'Pricing Policies'!$C$13/100)*'Pricing Policies'!$E$11</f>
        <v>0</v>
      </c>
      <c r="AJ27" s="178">
        <f>AD27*(1+'Pricing Policies'!$C$13/100)*'Pricing Policies'!$F$11</f>
        <v>0</v>
      </c>
      <c r="AK27" s="178">
        <f>AD27*(1+'Pricing Policies'!$C$14/100)*'Pricing Policies'!$D$11</f>
        <v>0</v>
      </c>
      <c r="AL27" s="178">
        <f>AD27*(1+'Pricing Policies'!$C$14/100)*'Pricing Policies'!$E$11</f>
        <v>0</v>
      </c>
      <c r="AM27" s="178">
        <f>AD27*(1+'Pricing Policies'!$C$14/100)*'Pricing Policies'!$F$11</f>
        <v>0</v>
      </c>
      <c r="AN27" s="178">
        <f t="shared" si="4"/>
        <v>471.3199507</v>
      </c>
      <c r="AO27" s="178">
        <f t="shared" si="5"/>
        <v>0</v>
      </c>
      <c r="AP27" s="178">
        <f t="shared" si="16"/>
        <v>471.3199507</v>
      </c>
      <c r="AQ27" s="179">
        <f t="shared" si="17"/>
        <v>475</v>
      </c>
      <c r="AR27" s="166">
        <f t="shared" si="6"/>
        <v>0.1</v>
      </c>
      <c r="AS27" s="176">
        <f t="shared" si="7"/>
        <v>47.5</v>
      </c>
      <c r="AT27" s="166">
        <f t="shared" si="8"/>
        <v>0.05</v>
      </c>
      <c r="AU27" s="176">
        <f t="shared" si="9"/>
        <v>26.125</v>
      </c>
      <c r="AV27" s="176">
        <f t="shared" si="18"/>
        <v>548.625</v>
      </c>
      <c r="AW27" s="180">
        <f t="shared" si="19"/>
        <v>550</v>
      </c>
      <c r="AX27" s="176">
        <f t="shared" si="10"/>
        <v>476.375</v>
      </c>
      <c r="AY27" s="181">
        <f t="shared" si="11"/>
        <v>119.09375</v>
      </c>
      <c r="AZ27" s="182">
        <f t="shared" si="12"/>
        <v>23.81875</v>
      </c>
      <c r="BA27" s="182">
        <f t="shared" si="20"/>
        <v>22</v>
      </c>
    </row>
    <row r="28" ht="15.75" customHeight="1">
      <c r="A28" s="145" t="str">
        <f t="shared" si="13"/>
        <v>Livorno - TRF</v>
      </c>
      <c r="B28" s="145" t="s">
        <v>438</v>
      </c>
      <c r="C28" s="152" t="s">
        <v>79</v>
      </c>
      <c r="D28" s="146">
        <v>4.0</v>
      </c>
      <c r="E28" s="146">
        <v>260.0</v>
      </c>
      <c r="F28" s="111">
        <v>0.0</v>
      </c>
      <c r="G28" s="111"/>
      <c r="H28" s="111"/>
      <c r="I28" s="111"/>
      <c r="J28" s="111"/>
      <c r="K28" s="147"/>
      <c r="M28" s="173">
        <f>(E28)*'Base Operating Costs'!$B$13</f>
        <v>49.4</v>
      </c>
      <c r="N28" s="173">
        <f>(E28)*'Base Operating Costs'!$B$14</f>
        <v>36.58647541</v>
      </c>
      <c r="O28" s="173">
        <f>'Base Operating Costs'!$B$15*(E28)</f>
        <v>41.8604875</v>
      </c>
      <c r="P28" s="173">
        <f>D28*'Base Operating Costs'!$B$4</f>
        <v>88</v>
      </c>
      <c r="Q28" s="174">
        <f t="shared" si="2"/>
        <v>0</v>
      </c>
      <c r="R28" s="174">
        <f t="shared" si="14"/>
        <v>215.8469629</v>
      </c>
      <c r="S28" s="175">
        <f t="shared" si="15"/>
        <v>216.6487705</v>
      </c>
      <c r="T28" s="176">
        <f>S28*(1+'Pricing Policies'!$C$5/100)*'Pricing Policies'!$D$4*IF($C28="TRF",1,(1+Markups!$B$4/100))</f>
        <v>250.4459787</v>
      </c>
      <c r="U28" s="176">
        <f>S28*(1+'Pricing Policies'!$C$5/100)*'Pricing Policies'!$E$4*IF($C28="TRF",1,(1+Markups!$B$4/100))</f>
        <v>294.6423279</v>
      </c>
      <c r="V28" s="176">
        <f>S28*(1+'Pricing Policies'!$C$5/100)*'Pricing Policies'!$F$4*IF($C28="TRF",1,(1+Markups!$B$4/100))</f>
        <v>353.5707935</v>
      </c>
      <c r="W28" s="176">
        <f>S28*(1+'Pricing Policies'!$C$6/100)*'Pricing Policies'!$D$4*IF($C28="TRF",1,(1+Markups!$B$4/100))</f>
        <v>267.0196097</v>
      </c>
      <c r="X28" s="176">
        <f>S28*(1+'Pricing Policies'!$C$6/100)*'Pricing Policies'!$E$4*IF($C28="TRF",1,(1+Markups!$B$4/100))</f>
        <v>314.1407173</v>
      </c>
      <c r="Y28" s="176">
        <f>S28*(1+'Pricing Policies'!$C$6/100)*'Pricing Policies'!$F$4*IF($C28="TRF",1,(1+Markups!$B$4/100))</f>
        <v>376.9688607</v>
      </c>
      <c r="Z28" s="176">
        <f>S28*(1+'Pricing Policies'!$C$7/100)*'Pricing Policies'!$D$4*IF($C28="TRF",1,(1+Markups!$B$4/100))</f>
        <v>291.8800561</v>
      </c>
      <c r="AA28" s="176">
        <f>S28*(1+'Pricing Policies'!$C$7/100)*'Pricing Policies'!$E$4*IF($C28="TRF",1,(1+Markups!$B$4/100))</f>
        <v>343.3883013</v>
      </c>
      <c r="AB28" s="176">
        <f>S28*(1+'Pricing Policies'!$C$7/100)*'Pricing Policies'!$F$4*IF($C28="TRF",1,(1+Markups!$B$4/100))</f>
        <v>412.0659616</v>
      </c>
      <c r="AC28" s="73">
        <f t="shared" si="21"/>
        <v>2</v>
      </c>
      <c r="AD28" s="177">
        <f t="shared" si="3"/>
        <v>0</v>
      </c>
      <c r="AE28" s="178">
        <f>AD28*(1+'Pricing Policies'!$C$12/100)*'Pricing Policies'!$D$11</f>
        <v>0</v>
      </c>
      <c r="AF28" s="178">
        <f>AD28*(1+'Pricing Policies'!$C$12/100)*'Pricing Policies'!$E$11</f>
        <v>0</v>
      </c>
      <c r="AG28" s="178">
        <f>AD28*(1+'Pricing Policies'!$C$12/100)*'Pricing Policies'!$F$11</f>
        <v>0</v>
      </c>
      <c r="AH28" s="178">
        <f>AD28*(1+'Pricing Policies'!$C$13/100)*'Pricing Policies'!$D$11</f>
        <v>0</v>
      </c>
      <c r="AI28" s="178">
        <f>AD28*(1+'Pricing Policies'!$C$13/100)*'Pricing Policies'!$E$11</f>
        <v>0</v>
      </c>
      <c r="AJ28" s="178">
        <f>AD28*(1+'Pricing Policies'!$C$13/100)*'Pricing Policies'!$F$11</f>
        <v>0</v>
      </c>
      <c r="AK28" s="178">
        <f>AD28*(1+'Pricing Policies'!$C$14/100)*'Pricing Policies'!$D$11</f>
        <v>0</v>
      </c>
      <c r="AL28" s="178">
        <f>AD28*(1+'Pricing Policies'!$C$14/100)*'Pricing Policies'!$E$11</f>
        <v>0</v>
      </c>
      <c r="AM28" s="178">
        <f>AD28*(1+'Pricing Policies'!$C$14/100)*'Pricing Policies'!$F$11</f>
        <v>0</v>
      </c>
      <c r="AN28" s="178">
        <f t="shared" si="4"/>
        <v>294.6423279</v>
      </c>
      <c r="AO28" s="178">
        <f t="shared" si="5"/>
        <v>0</v>
      </c>
      <c r="AP28" s="178">
        <f t="shared" si="16"/>
        <v>294.6423279</v>
      </c>
      <c r="AQ28" s="179">
        <f t="shared" si="17"/>
        <v>295</v>
      </c>
      <c r="AR28" s="166">
        <f t="shared" si="6"/>
        <v>0.1</v>
      </c>
      <c r="AS28" s="176">
        <f t="shared" si="7"/>
        <v>29.5</v>
      </c>
      <c r="AT28" s="166">
        <f t="shared" si="8"/>
        <v>0.05</v>
      </c>
      <c r="AU28" s="176">
        <f t="shared" si="9"/>
        <v>16.225</v>
      </c>
      <c r="AV28" s="176">
        <f t="shared" si="18"/>
        <v>340.725</v>
      </c>
      <c r="AW28" s="180">
        <f t="shared" si="19"/>
        <v>345</v>
      </c>
      <c r="AX28" s="176">
        <f t="shared" si="10"/>
        <v>299.275</v>
      </c>
      <c r="AY28" s="181">
        <f t="shared" si="11"/>
        <v>74.81875</v>
      </c>
      <c r="AZ28" s="182">
        <f t="shared" si="12"/>
        <v>18.7046875</v>
      </c>
      <c r="BA28" s="182">
        <f t="shared" si="20"/>
        <v>18.7046875</v>
      </c>
    </row>
    <row r="29" ht="15.75" customHeight="1">
      <c r="A29" s="145" t="str">
        <f t="shared" si="13"/>
        <v>Lucca - TRF</v>
      </c>
      <c r="B29" s="145" t="s">
        <v>439</v>
      </c>
      <c r="C29" s="152" t="s">
        <v>79</v>
      </c>
      <c r="D29" s="146">
        <v>4.0</v>
      </c>
      <c r="E29" s="146">
        <v>280.0</v>
      </c>
      <c r="F29" s="111">
        <v>12.0</v>
      </c>
      <c r="G29" s="111"/>
      <c r="H29" s="111"/>
      <c r="I29" s="111"/>
      <c r="J29" s="111"/>
      <c r="K29" s="147"/>
      <c r="M29" s="173">
        <f>(E29)*'Base Operating Costs'!$B$13</f>
        <v>53.2</v>
      </c>
      <c r="N29" s="173">
        <f>(E29)*'Base Operating Costs'!$B$14</f>
        <v>39.40081967</v>
      </c>
      <c r="O29" s="173">
        <f>'Base Operating Costs'!$B$15*(E29)</f>
        <v>45.080525</v>
      </c>
      <c r="P29" s="173">
        <f>D29*'Base Operating Costs'!$B$4</f>
        <v>88</v>
      </c>
      <c r="Q29" s="174">
        <f t="shared" si="2"/>
        <v>12</v>
      </c>
      <c r="R29" s="174">
        <f t="shared" si="14"/>
        <v>237.6813447</v>
      </c>
      <c r="S29" s="175">
        <f t="shared" si="15"/>
        <v>238.247453</v>
      </c>
      <c r="T29" s="176">
        <f>S29*(1+'Pricing Policies'!$C$5/100)*'Pricing Policies'!$D$4*IF($C29="TRF",1,(1+Markups!$B$4/100))</f>
        <v>275.4140557</v>
      </c>
      <c r="U29" s="176">
        <f>S29*(1+'Pricing Policies'!$C$5/100)*'Pricing Policies'!$E$4*IF($C29="TRF",1,(1+Markups!$B$4/100))</f>
        <v>324.0165361</v>
      </c>
      <c r="V29" s="176">
        <f>S29*(1+'Pricing Policies'!$C$5/100)*'Pricing Policies'!$F$4*IF($C29="TRF",1,(1+Markups!$B$4/100))</f>
        <v>388.8198433</v>
      </c>
      <c r="W29" s="176">
        <f>S29*(1+'Pricing Policies'!$C$6/100)*'Pricing Policies'!$D$4*IF($C29="TRF",1,(1+Markups!$B$4/100))</f>
        <v>293.6399859</v>
      </c>
      <c r="X29" s="176">
        <f>S29*(1+'Pricing Policies'!$C$6/100)*'Pricing Policies'!$E$4*IF($C29="TRF",1,(1+Markups!$B$4/100))</f>
        <v>345.4588069</v>
      </c>
      <c r="Y29" s="176">
        <f>S29*(1+'Pricing Policies'!$C$6/100)*'Pricing Policies'!$F$4*IF($C29="TRF",1,(1+Markups!$B$4/100))</f>
        <v>414.5505683</v>
      </c>
      <c r="Z29" s="176">
        <f>S29*(1+'Pricing Policies'!$C$7/100)*'Pricing Policies'!$D$4*IF($C29="TRF",1,(1+Markups!$B$4/100))</f>
        <v>320.9788811</v>
      </c>
      <c r="AA29" s="176">
        <f>S29*(1+'Pricing Policies'!$C$7/100)*'Pricing Policies'!$E$4*IF($C29="TRF",1,(1+Markups!$B$4/100))</f>
        <v>377.6222131</v>
      </c>
      <c r="AB29" s="176">
        <f>S29*(1+'Pricing Policies'!$C$7/100)*'Pricing Policies'!$F$4*IF($C29="TRF",1,(1+Markups!$B$4/100))</f>
        <v>453.1466557</v>
      </c>
      <c r="AC29" s="73">
        <f t="shared" si="21"/>
        <v>2</v>
      </c>
      <c r="AD29" s="177">
        <f t="shared" si="3"/>
        <v>0</v>
      </c>
      <c r="AE29" s="178">
        <f>AD29*(1+'Pricing Policies'!$C$12/100)*'Pricing Policies'!$D$11</f>
        <v>0</v>
      </c>
      <c r="AF29" s="178">
        <f>AD29*(1+'Pricing Policies'!$C$12/100)*'Pricing Policies'!$E$11</f>
        <v>0</v>
      </c>
      <c r="AG29" s="178">
        <f>AD29*(1+'Pricing Policies'!$C$12/100)*'Pricing Policies'!$F$11</f>
        <v>0</v>
      </c>
      <c r="AH29" s="178">
        <f>AD29*(1+'Pricing Policies'!$C$13/100)*'Pricing Policies'!$D$11</f>
        <v>0</v>
      </c>
      <c r="AI29" s="178">
        <f>AD29*(1+'Pricing Policies'!$C$13/100)*'Pricing Policies'!$E$11</f>
        <v>0</v>
      </c>
      <c r="AJ29" s="178">
        <f>AD29*(1+'Pricing Policies'!$C$13/100)*'Pricing Policies'!$F$11</f>
        <v>0</v>
      </c>
      <c r="AK29" s="178">
        <f>AD29*(1+'Pricing Policies'!$C$14/100)*'Pricing Policies'!$D$11</f>
        <v>0</v>
      </c>
      <c r="AL29" s="178">
        <f>AD29*(1+'Pricing Policies'!$C$14/100)*'Pricing Policies'!$E$11</f>
        <v>0</v>
      </c>
      <c r="AM29" s="178">
        <f>AD29*(1+'Pricing Policies'!$C$14/100)*'Pricing Policies'!$F$11</f>
        <v>0</v>
      </c>
      <c r="AN29" s="178">
        <f t="shared" si="4"/>
        <v>324.0165361</v>
      </c>
      <c r="AO29" s="178">
        <f t="shared" si="5"/>
        <v>0</v>
      </c>
      <c r="AP29" s="178">
        <f t="shared" si="16"/>
        <v>324.0165361</v>
      </c>
      <c r="AQ29" s="179">
        <f t="shared" si="17"/>
        <v>325</v>
      </c>
      <c r="AR29" s="166">
        <f t="shared" si="6"/>
        <v>0.1</v>
      </c>
      <c r="AS29" s="176">
        <f t="shared" si="7"/>
        <v>32.5</v>
      </c>
      <c r="AT29" s="166">
        <f t="shared" si="8"/>
        <v>0.05</v>
      </c>
      <c r="AU29" s="176">
        <f t="shared" si="9"/>
        <v>17.875</v>
      </c>
      <c r="AV29" s="176">
        <f t="shared" si="18"/>
        <v>375.375</v>
      </c>
      <c r="AW29" s="180">
        <f t="shared" si="19"/>
        <v>380</v>
      </c>
      <c r="AX29" s="176">
        <f t="shared" si="10"/>
        <v>329.625</v>
      </c>
      <c r="AY29" s="181">
        <f t="shared" si="11"/>
        <v>82.40625</v>
      </c>
      <c r="AZ29" s="182">
        <f t="shared" si="12"/>
        <v>20.6015625</v>
      </c>
      <c r="BA29" s="182">
        <f t="shared" si="20"/>
        <v>20.6015625</v>
      </c>
    </row>
    <row r="30" ht="15.75" customHeight="1">
      <c r="A30" s="145" t="str">
        <f t="shared" si="13"/>
        <v>Milano - TRF</v>
      </c>
      <c r="B30" s="145" t="s">
        <v>440</v>
      </c>
      <c r="C30" s="152" t="s">
        <v>79</v>
      </c>
      <c r="D30" s="146">
        <v>8.0</v>
      </c>
      <c r="E30" s="146">
        <v>740.0</v>
      </c>
      <c r="F30" s="111">
        <v>50.0</v>
      </c>
      <c r="G30" s="111"/>
      <c r="H30" s="111"/>
      <c r="I30" s="111"/>
      <c r="J30" s="111"/>
      <c r="K30" s="147"/>
      <c r="M30" s="173">
        <f>(E30)*'Base Operating Costs'!$B$13</f>
        <v>140.6</v>
      </c>
      <c r="N30" s="173">
        <f>(E30)*'Base Operating Costs'!$B$14</f>
        <v>104.1307377</v>
      </c>
      <c r="O30" s="173">
        <f>'Base Operating Costs'!$B$15*(E30)</f>
        <v>119.1413875</v>
      </c>
      <c r="P30" s="173">
        <f>D30*'Base Operating Costs'!$B$4</f>
        <v>176</v>
      </c>
      <c r="Q30" s="174">
        <f t="shared" si="2"/>
        <v>50</v>
      </c>
      <c r="R30" s="174">
        <f t="shared" si="14"/>
        <v>589.8721252</v>
      </c>
      <c r="S30" s="175">
        <f t="shared" si="15"/>
        <v>530.8849587</v>
      </c>
      <c r="T30" s="176">
        <f>S30*(1+'Pricing Policies'!$C$5/100)*'Pricing Policies'!$D$4*IF($C30="TRF",1,(1+Markups!$B$4/100))</f>
        <v>613.7030122</v>
      </c>
      <c r="U30" s="176">
        <f>S30*(1+'Pricing Policies'!$C$5/100)*'Pricing Policies'!$E$4*IF($C30="TRF",1,(1+Markups!$B$4/100))</f>
        <v>722.0035438</v>
      </c>
      <c r="V30" s="176">
        <f>S30*(1+'Pricing Policies'!$C$5/100)*'Pricing Policies'!$F$4*IF($C30="TRF",1,(1+Markups!$B$4/100))</f>
        <v>866.4042525</v>
      </c>
      <c r="W30" s="176">
        <f>S30*(1+'Pricing Policies'!$C$6/100)*'Pricing Policies'!$D$4*IF($C30="TRF",1,(1+Markups!$B$4/100))</f>
        <v>654.3157115</v>
      </c>
      <c r="X30" s="176">
        <f>S30*(1+'Pricing Policies'!$C$6/100)*'Pricing Policies'!$E$4*IF($C30="TRF",1,(1+Markups!$B$4/100))</f>
        <v>769.78319</v>
      </c>
      <c r="Y30" s="176">
        <f>S30*(1+'Pricing Policies'!$C$6/100)*'Pricing Policies'!$F$4*IF($C30="TRF",1,(1+Markups!$B$4/100))</f>
        <v>923.7398281</v>
      </c>
      <c r="Z30" s="176">
        <f>S30*(1+'Pricing Policies'!$C$7/100)*'Pricing Policies'!$D$4*IF($C30="TRF",1,(1+Markups!$B$4/100))</f>
        <v>715.2347605</v>
      </c>
      <c r="AA30" s="176">
        <f>S30*(1+'Pricing Policies'!$C$7/100)*'Pricing Policies'!$E$4*IF($C30="TRF",1,(1+Markups!$B$4/100))</f>
        <v>841.4526595</v>
      </c>
      <c r="AB30" s="176">
        <f>S30*(1+'Pricing Policies'!$C$7/100)*'Pricing Policies'!$F$4*IF($C30="TRF",1,(1+Markups!$B$4/100))</f>
        <v>1009.743191</v>
      </c>
      <c r="AC30" s="73">
        <f t="shared" si="21"/>
        <v>2</v>
      </c>
      <c r="AD30" s="177">
        <f t="shared" si="3"/>
        <v>0</v>
      </c>
      <c r="AE30" s="178">
        <f>AD30*(1+'Pricing Policies'!$C$12/100)*'Pricing Policies'!$D$11</f>
        <v>0</v>
      </c>
      <c r="AF30" s="178">
        <f>AD30*(1+'Pricing Policies'!$C$12/100)*'Pricing Policies'!$E$11</f>
        <v>0</v>
      </c>
      <c r="AG30" s="178">
        <f>AD30*(1+'Pricing Policies'!$C$12/100)*'Pricing Policies'!$F$11</f>
        <v>0</v>
      </c>
      <c r="AH30" s="178">
        <f>AD30*(1+'Pricing Policies'!$C$13/100)*'Pricing Policies'!$D$11</f>
        <v>0</v>
      </c>
      <c r="AI30" s="178">
        <f>AD30*(1+'Pricing Policies'!$C$13/100)*'Pricing Policies'!$E$11</f>
        <v>0</v>
      </c>
      <c r="AJ30" s="178">
        <f>AD30*(1+'Pricing Policies'!$C$13/100)*'Pricing Policies'!$F$11</f>
        <v>0</v>
      </c>
      <c r="AK30" s="178">
        <f>AD30*(1+'Pricing Policies'!$C$14/100)*'Pricing Policies'!$D$11</f>
        <v>0</v>
      </c>
      <c r="AL30" s="178">
        <f>AD30*(1+'Pricing Policies'!$C$14/100)*'Pricing Policies'!$E$11</f>
        <v>0</v>
      </c>
      <c r="AM30" s="178">
        <f>AD30*(1+'Pricing Policies'!$C$14/100)*'Pricing Policies'!$F$11</f>
        <v>0</v>
      </c>
      <c r="AN30" s="178">
        <f t="shared" si="4"/>
        <v>722.0035438</v>
      </c>
      <c r="AO30" s="178">
        <f t="shared" si="5"/>
        <v>0</v>
      </c>
      <c r="AP30" s="178">
        <f t="shared" si="16"/>
        <v>722.0035438</v>
      </c>
      <c r="AQ30" s="179">
        <f t="shared" si="17"/>
        <v>725</v>
      </c>
      <c r="AR30" s="166">
        <f t="shared" si="6"/>
        <v>0.1</v>
      </c>
      <c r="AS30" s="176">
        <f t="shared" si="7"/>
        <v>72.5</v>
      </c>
      <c r="AT30" s="166">
        <f t="shared" si="8"/>
        <v>0.05</v>
      </c>
      <c r="AU30" s="176">
        <f t="shared" si="9"/>
        <v>39.875</v>
      </c>
      <c r="AV30" s="176">
        <f t="shared" si="18"/>
        <v>837.375</v>
      </c>
      <c r="AW30" s="180">
        <f t="shared" si="19"/>
        <v>840</v>
      </c>
      <c r="AX30" s="176">
        <f t="shared" si="10"/>
        <v>727.625</v>
      </c>
      <c r="AY30" s="181">
        <f t="shared" si="11"/>
        <v>181.90625</v>
      </c>
      <c r="AZ30" s="182">
        <f t="shared" si="12"/>
        <v>22.73828125</v>
      </c>
      <c r="BA30" s="182">
        <f t="shared" si="20"/>
        <v>22</v>
      </c>
    </row>
    <row r="31" ht="15.75" customHeight="1">
      <c r="A31" s="145" t="str">
        <f t="shared" si="13"/>
        <v>Montalcino - TRF</v>
      </c>
      <c r="B31" s="145" t="s">
        <v>417</v>
      </c>
      <c r="C31" s="152" t="s">
        <v>79</v>
      </c>
      <c r="D31" s="146">
        <v>2.0</v>
      </c>
      <c r="E31" s="146">
        <v>90.0</v>
      </c>
      <c r="F31" s="111">
        <v>0.0</v>
      </c>
      <c r="G31" s="111"/>
      <c r="H31" s="111"/>
      <c r="I31" s="111"/>
      <c r="J31" s="111"/>
      <c r="K31" s="147"/>
      <c r="M31" s="173">
        <f>(E31)*'Base Operating Costs'!$B$13</f>
        <v>17.1</v>
      </c>
      <c r="N31" s="173">
        <f>(E31)*'Base Operating Costs'!$B$14</f>
        <v>12.66454918</v>
      </c>
      <c r="O31" s="173">
        <f>'Base Operating Costs'!$B$15*(E31)</f>
        <v>14.49016875</v>
      </c>
      <c r="P31" s="173">
        <f>D31*'Base Operating Costs'!$B$4</f>
        <v>44</v>
      </c>
      <c r="Q31" s="174">
        <f t="shared" si="2"/>
        <v>0</v>
      </c>
      <c r="R31" s="174">
        <f t="shared" si="14"/>
        <v>88.25471793</v>
      </c>
      <c r="S31" s="175">
        <f t="shared" si="15"/>
        <v>102.5874906</v>
      </c>
      <c r="T31" s="176">
        <f>S31*(1+'Pricing Policies'!$C$5/100)*'Pricing Policies'!$D$4*IF($C31="TRF",1,(1+Markups!$B$4/100))</f>
        <v>118.5911392</v>
      </c>
      <c r="U31" s="176">
        <f>S31*(1+'Pricing Policies'!$C$5/100)*'Pricing Policies'!$E$4*IF($C31="TRF",1,(1+Markups!$B$4/100))</f>
        <v>139.5189873</v>
      </c>
      <c r="V31" s="176">
        <f>S31*(1+'Pricing Policies'!$C$5/100)*'Pricing Policies'!$F$4*IF($C31="TRF",1,(1+Markups!$B$4/100))</f>
        <v>167.4227847</v>
      </c>
      <c r="W31" s="176">
        <f>S31*(1+'Pricing Policies'!$C$6/100)*'Pricing Policies'!$D$4*IF($C31="TRF",1,(1+Markups!$B$4/100))</f>
        <v>126.4390822</v>
      </c>
      <c r="X31" s="176">
        <f>S31*(1+'Pricing Policies'!$C$6/100)*'Pricing Policies'!$E$4*IF($C31="TRF",1,(1+Markups!$B$4/100))</f>
        <v>148.7518614</v>
      </c>
      <c r="Y31" s="176">
        <f>S31*(1+'Pricing Policies'!$C$6/100)*'Pricing Policies'!$F$4*IF($C31="TRF",1,(1+Markups!$B$4/100))</f>
        <v>178.5022337</v>
      </c>
      <c r="Z31" s="176">
        <f>S31*(1+'Pricing Policies'!$C$7/100)*'Pricing Policies'!$D$4*IF($C31="TRF",1,(1+Markups!$B$4/100))</f>
        <v>138.2109967</v>
      </c>
      <c r="AA31" s="176">
        <f>S31*(1+'Pricing Policies'!$C$7/100)*'Pricing Policies'!$E$4*IF($C31="TRF",1,(1+Markups!$B$4/100))</f>
        <v>162.6011726</v>
      </c>
      <c r="AB31" s="176">
        <f>S31*(1+'Pricing Policies'!$C$7/100)*'Pricing Policies'!$F$4*IF($C31="TRF",1,(1+Markups!$B$4/100))</f>
        <v>195.1214072</v>
      </c>
      <c r="AC31" s="73">
        <f t="shared" si="21"/>
        <v>2</v>
      </c>
      <c r="AD31" s="177">
        <f t="shared" si="3"/>
        <v>0</v>
      </c>
      <c r="AE31" s="178">
        <f>AD31*(1+'Pricing Policies'!$C$12/100)*'Pricing Policies'!$D$11</f>
        <v>0</v>
      </c>
      <c r="AF31" s="178">
        <f>AD31*(1+'Pricing Policies'!$C$12/100)*'Pricing Policies'!$E$11</f>
        <v>0</v>
      </c>
      <c r="AG31" s="178">
        <f>AD31*(1+'Pricing Policies'!$C$12/100)*'Pricing Policies'!$F$11</f>
        <v>0</v>
      </c>
      <c r="AH31" s="178">
        <f>AD31*(1+'Pricing Policies'!$C$13/100)*'Pricing Policies'!$D$11</f>
        <v>0</v>
      </c>
      <c r="AI31" s="178">
        <f>AD31*(1+'Pricing Policies'!$C$13/100)*'Pricing Policies'!$E$11</f>
        <v>0</v>
      </c>
      <c r="AJ31" s="178">
        <f>AD31*(1+'Pricing Policies'!$C$13/100)*'Pricing Policies'!$F$11</f>
        <v>0</v>
      </c>
      <c r="AK31" s="178">
        <f>AD31*(1+'Pricing Policies'!$C$14/100)*'Pricing Policies'!$D$11</f>
        <v>0</v>
      </c>
      <c r="AL31" s="178">
        <f>AD31*(1+'Pricing Policies'!$C$14/100)*'Pricing Policies'!$E$11</f>
        <v>0</v>
      </c>
      <c r="AM31" s="178">
        <f>AD31*(1+'Pricing Policies'!$C$14/100)*'Pricing Policies'!$F$11</f>
        <v>0</v>
      </c>
      <c r="AN31" s="178">
        <f t="shared" si="4"/>
        <v>139.5189873</v>
      </c>
      <c r="AO31" s="178">
        <f t="shared" si="5"/>
        <v>0</v>
      </c>
      <c r="AP31" s="178">
        <f t="shared" si="16"/>
        <v>139.5189873</v>
      </c>
      <c r="AQ31" s="179">
        <f t="shared" si="17"/>
        <v>140</v>
      </c>
      <c r="AR31" s="166">
        <f t="shared" si="6"/>
        <v>0.1</v>
      </c>
      <c r="AS31" s="176">
        <f t="shared" si="7"/>
        <v>14</v>
      </c>
      <c r="AT31" s="166">
        <f t="shared" si="8"/>
        <v>0.05</v>
      </c>
      <c r="AU31" s="176">
        <f t="shared" si="9"/>
        <v>7.7</v>
      </c>
      <c r="AV31" s="176">
        <f t="shared" si="18"/>
        <v>161.7</v>
      </c>
      <c r="AW31" s="180">
        <f t="shared" si="19"/>
        <v>165</v>
      </c>
      <c r="AX31" s="176">
        <f t="shared" si="10"/>
        <v>143.3</v>
      </c>
      <c r="AY31" s="181">
        <f t="shared" si="11"/>
        <v>35.825</v>
      </c>
      <c r="AZ31" s="182">
        <f t="shared" si="12"/>
        <v>17.9125</v>
      </c>
      <c r="BA31" s="182">
        <f t="shared" si="20"/>
        <v>17.9125</v>
      </c>
    </row>
    <row r="32" ht="15.75" customHeight="1">
      <c r="A32" s="145" t="str">
        <f t="shared" si="13"/>
        <v>Montecatini - TRF</v>
      </c>
      <c r="B32" s="145" t="s">
        <v>441</v>
      </c>
      <c r="C32" s="152" t="s">
        <v>79</v>
      </c>
      <c r="D32" s="146">
        <v>3.0</v>
      </c>
      <c r="E32" s="146">
        <v>230.0</v>
      </c>
      <c r="F32" s="111">
        <v>10.0</v>
      </c>
      <c r="G32" s="111"/>
      <c r="H32" s="111"/>
      <c r="I32" s="111"/>
      <c r="J32" s="111"/>
      <c r="K32" s="147"/>
      <c r="M32" s="173">
        <f>(E32)*'Base Operating Costs'!$B$13</f>
        <v>43.7</v>
      </c>
      <c r="N32" s="173">
        <f>(E32)*'Base Operating Costs'!$B$14</f>
        <v>32.36495902</v>
      </c>
      <c r="O32" s="173">
        <f>'Base Operating Costs'!$B$15*(E32)</f>
        <v>37.03043125</v>
      </c>
      <c r="P32" s="173">
        <f>D32*'Base Operating Costs'!$B$4</f>
        <v>66</v>
      </c>
      <c r="Q32" s="174">
        <f t="shared" si="2"/>
        <v>10</v>
      </c>
      <c r="R32" s="174">
        <f t="shared" si="14"/>
        <v>189.0953903</v>
      </c>
      <c r="S32" s="175">
        <f t="shared" si="15"/>
        <v>190.4635438</v>
      </c>
      <c r="T32" s="176">
        <f>S32*(1+'Pricing Policies'!$C$5/100)*'Pricing Policies'!$D$4*IF($C32="TRF",1,(1+Markups!$B$4/100))</f>
        <v>220.1758566</v>
      </c>
      <c r="U32" s="176">
        <f>S32*(1+'Pricing Policies'!$C$5/100)*'Pricing Policies'!$E$4*IF($C32="TRF",1,(1+Markups!$B$4/100))</f>
        <v>259.0304196</v>
      </c>
      <c r="V32" s="176">
        <f>S32*(1+'Pricing Policies'!$C$5/100)*'Pricing Policies'!$F$4*IF($C32="TRF",1,(1+Markups!$B$4/100))</f>
        <v>310.8365035</v>
      </c>
      <c r="W32" s="176">
        <f>S32*(1+'Pricing Policies'!$C$6/100)*'Pricing Policies'!$D$4*IF($C32="TRF",1,(1+Markups!$B$4/100))</f>
        <v>234.7463177</v>
      </c>
      <c r="X32" s="176">
        <f>S32*(1+'Pricing Policies'!$C$6/100)*'Pricing Policies'!$E$4*IF($C32="TRF",1,(1+Markups!$B$4/100))</f>
        <v>276.1721385</v>
      </c>
      <c r="Y32" s="176">
        <f>S32*(1+'Pricing Policies'!$C$6/100)*'Pricing Policies'!$F$4*IF($C32="TRF",1,(1+Markups!$B$4/100))</f>
        <v>331.4065662</v>
      </c>
      <c r="Z32" s="176">
        <f>S32*(1+'Pricing Policies'!$C$7/100)*'Pricing Policies'!$D$4*IF($C32="TRF",1,(1+Markups!$B$4/100))</f>
        <v>256.6020094</v>
      </c>
      <c r="AA32" s="176">
        <f>S32*(1+'Pricing Policies'!$C$7/100)*'Pricing Policies'!$E$4*IF($C32="TRF",1,(1+Markups!$B$4/100))</f>
        <v>301.8847169</v>
      </c>
      <c r="AB32" s="176">
        <f>S32*(1+'Pricing Policies'!$C$7/100)*'Pricing Policies'!$F$4*IF($C32="TRF",1,(1+Markups!$B$4/100))</f>
        <v>362.2616603</v>
      </c>
      <c r="AC32" s="73">
        <f t="shared" si="21"/>
        <v>2</v>
      </c>
      <c r="AD32" s="177">
        <f t="shared" si="3"/>
        <v>0</v>
      </c>
      <c r="AE32" s="178">
        <f>AD32*(1+'Pricing Policies'!$C$12/100)*'Pricing Policies'!$D$11</f>
        <v>0</v>
      </c>
      <c r="AF32" s="178">
        <f>AD32*(1+'Pricing Policies'!$C$12/100)*'Pricing Policies'!$E$11</f>
        <v>0</v>
      </c>
      <c r="AG32" s="178">
        <f>AD32*(1+'Pricing Policies'!$C$12/100)*'Pricing Policies'!$F$11</f>
        <v>0</v>
      </c>
      <c r="AH32" s="178">
        <f>AD32*(1+'Pricing Policies'!$C$13/100)*'Pricing Policies'!$D$11</f>
        <v>0</v>
      </c>
      <c r="AI32" s="178">
        <f>AD32*(1+'Pricing Policies'!$C$13/100)*'Pricing Policies'!$E$11</f>
        <v>0</v>
      </c>
      <c r="AJ32" s="178">
        <f>AD32*(1+'Pricing Policies'!$C$13/100)*'Pricing Policies'!$F$11</f>
        <v>0</v>
      </c>
      <c r="AK32" s="178">
        <f>AD32*(1+'Pricing Policies'!$C$14/100)*'Pricing Policies'!$D$11</f>
        <v>0</v>
      </c>
      <c r="AL32" s="178">
        <f>AD32*(1+'Pricing Policies'!$C$14/100)*'Pricing Policies'!$E$11</f>
        <v>0</v>
      </c>
      <c r="AM32" s="178">
        <f>AD32*(1+'Pricing Policies'!$C$14/100)*'Pricing Policies'!$F$11</f>
        <v>0</v>
      </c>
      <c r="AN32" s="178">
        <f t="shared" si="4"/>
        <v>259.0304196</v>
      </c>
      <c r="AO32" s="178">
        <f t="shared" si="5"/>
        <v>0</v>
      </c>
      <c r="AP32" s="178">
        <f t="shared" si="16"/>
        <v>259.0304196</v>
      </c>
      <c r="AQ32" s="179">
        <f t="shared" si="17"/>
        <v>260</v>
      </c>
      <c r="AR32" s="166">
        <f t="shared" si="6"/>
        <v>0.1</v>
      </c>
      <c r="AS32" s="176">
        <f t="shared" si="7"/>
        <v>26</v>
      </c>
      <c r="AT32" s="166">
        <f t="shared" si="8"/>
        <v>0.05</v>
      </c>
      <c r="AU32" s="176">
        <f t="shared" si="9"/>
        <v>14.3</v>
      </c>
      <c r="AV32" s="176">
        <f t="shared" si="18"/>
        <v>300.3</v>
      </c>
      <c r="AW32" s="180">
        <f t="shared" si="19"/>
        <v>305</v>
      </c>
      <c r="AX32" s="176">
        <f t="shared" si="10"/>
        <v>264.7</v>
      </c>
      <c r="AY32" s="181">
        <f t="shared" si="11"/>
        <v>66.175</v>
      </c>
      <c r="AZ32" s="182">
        <f t="shared" si="12"/>
        <v>22.05833333</v>
      </c>
      <c r="BA32" s="182">
        <f t="shared" si="20"/>
        <v>22</v>
      </c>
    </row>
    <row r="33" ht="15.75" customHeight="1">
      <c r="A33" s="145" t="str">
        <f t="shared" si="13"/>
        <v>Montepulciano - TRF</v>
      </c>
      <c r="B33" s="145" t="s">
        <v>442</v>
      </c>
      <c r="C33" s="152" t="s">
        <v>79</v>
      </c>
      <c r="D33" s="146">
        <v>2.0</v>
      </c>
      <c r="E33" s="146">
        <v>130.0</v>
      </c>
      <c r="F33" s="111">
        <v>0.0</v>
      </c>
      <c r="G33" s="111"/>
      <c r="H33" s="111"/>
      <c r="I33" s="111"/>
      <c r="J33" s="111"/>
      <c r="K33" s="147"/>
      <c r="M33" s="173">
        <f>(E33)*'Base Operating Costs'!$B$13</f>
        <v>24.7</v>
      </c>
      <c r="N33" s="173">
        <f>(E33)*'Base Operating Costs'!$B$14</f>
        <v>18.2932377</v>
      </c>
      <c r="O33" s="173">
        <f>'Base Operating Costs'!$B$15*(E33)</f>
        <v>20.93024375</v>
      </c>
      <c r="P33" s="173">
        <f>D33*'Base Operating Costs'!$B$4</f>
        <v>44</v>
      </c>
      <c r="Q33" s="174">
        <f t="shared" si="2"/>
        <v>0</v>
      </c>
      <c r="R33" s="174">
        <f t="shared" si="14"/>
        <v>107.9234815</v>
      </c>
      <c r="S33" s="175">
        <f t="shared" si="15"/>
        <v>115.1290572</v>
      </c>
      <c r="T33" s="176">
        <f>S33*(1+'Pricing Policies'!$C$5/100)*'Pricing Policies'!$D$4*IF($C33="TRF",1,(1+Markups!$B$4/100))</f>
        <v>133.0891902</v>
      </c>
      <c r="U33" s="176">
        <f>S33*(1+'Pricing Policies'!$C$5/100)*'Pricing Policies'!$E$4*IF($C33="TRF",1,(1+Markups!$B$4/100))</f>
        <v>156.5755178</v>
      </c>
      <c r="V33" s="176">
        <f>S33*(1+'Pricing Policies'!$C$5/100)*'Pricing Policies'!$F$4*IF($C33="TRF",1,(1+Markups!$B$4/100))</f>
        <v>187.8906214</v>
      </c>
      <c r="W33" s="176">
        <f>S33*(1+'Pricing Policies'!$C$6/100)*'Pricing Policies'!$D$4*IF($C33="TRF",1,(1+Markups!$B$4/100))</f>
        <v>141.896563</v>
      </c>
      <c r="X33" s="176">
        <f>S33*(1+'Pricing Policies'!$C$6/100)*'Pricing Policies'!$E$4*IF($C33="TRF",1,(1+Markups!$B$4/100))</f>
        <v>166.937133</v>
      </c>
      <c r="Y33" s="176">
        <f>S33*(1+'Pricing Policies'!$C$6/100)*'Pricing Policies'!$F$4*IF($C33="TRF",1,(1+Markups!$B$4/100))</f>
        <v>200.3245596</v>
      </c>
      <c r="Z33" s="176">
        <f>S33*(1+'Pricing Policies'!$C$7/100)*'Pricing Policies'!$D$4*IF($C33="TRF",1,(1+Markups!$B$4/100))</f>
        <v>155.1076223</v>
      </c>
      <c r="AA33" s="176">
        <f>S33*(1+'Pricing Policies'!$C$7/100)*'Pricing Policies'!$E$4*IF($C33="TRF",1,(1+Markups!$B$4/100))</f>
        <v>182.4795557</v>
      </c>
      <c r="AB33" s="176">
        <f>S33*(1+'Pricing Policies'!$C$7/100)*'Pricing Policies'!$F$4*IF($C33="TRF",1,(1+Markups!$B$4/100))</f>
        <v>218.9754668</v>
      </c>
      <c r="AC33" s="73">
        <f t="shared" si="21"/>
        <v>2</v>
      </c>
      <c r="AD33" s="177">
        <f t="shared" si="3"/>
        <v>0</v>
      </c>
      <c r="AE33" s="178">
        <f>AD33*(1+'Pricing Policies'!$C$12/100)*'Pricing Policies'!$D$11</f>
        <v>0</v>
      </c>
      <c r="AF33" s="178">
        <f>AD33*(1+'Pricing Policies'!$C$12/100)*'Pricing Policies'!$E$11</f>
        <v>0</v>
      </c>
      <c r="AG33" s="178">
        <f>AD33*(1+'Pricing Policies'!$C$12/100)*'Pricing Policies'!$F$11</f>
        <v>0</v>
      </c>
      <c r="AH33" s="178">
        <f>AD33*(1+'Pricing Policies'!$C$13/100)*'Pricing Policies'!$D$11</f>
        <v>0</v>
      </c>
      <c r="AI33" s="178">
        <f>AD33*(1+'Pricing Policies'!$C$13/100)*'Pricing Policies'!$E$11</f>
        <v>0</v>
      </c>
      <c r="AJ33" s="178">
        <f>AD33*(1+'Pricing Policies'!$C$13/100)*'Pricing Policies'!$F$11</f>
        <v>0</v>
      </c>
      <c r="AK33" s="178">
        <f>AD33*(1+'Pricing Policies'!$C$14/100)*'Pricing Policies'!$D$11</f>
        <v>0</v>
      </c>
      <c r="AL33" s="178">
        <f>AD33*(1+'Pricing Policies'!$C$14/100)*'Pricing Policies'!$E$11</f>
        <v>0</v>
      </c>
      <c r="AM33" s="178">
        <f>AD33*(1+'Pricing Policies'!$C$14/100)*'Pricing Policies'!$F$11</f>
        <v>0</v>
      </c>
      <c r="AN33" s="178">
        <f t="shared" si="4"/>
        <v>156.5755178</v>
      </c>
      <c r="AO33" s="178">
        <f t="shared" si="5"/>
        <v>0</v>
      </c>
      <c r="AP33" s="178">
        <f t="shared" si="16"/>
        <v>156.5755178</v>
      </c>
      <c r="AQ33" s="179">
        <f t="shared" si="17"/>
        <v>160</v>
      </c>
      <c r="AR33" s="166">
        <f t="shared" si="6"/>
        <v>0.1</v>
      </c>
      <c r="AS33" s="176">
        <f t="shared" si="7"/>
        <v>16</v>
      </c>
      <c r="AT33" s="166">
        <f t="shared" si="8"/>
        <v>0.05</v>
      </c>
      <c r="AU33" s="176">
        <f t="shared" si="9"/>
        <v>8.8</v>
      </c>
      <c r="AV33" s="176">
        <f t="shared" si="18"/>
        <v>184.8</v>
      </c>
      <c r="AW33" s="180">
        <f t="shared" si="19"/>
        <v>185</v>
      </c>
      <c r="AX33" s="176">
        <f t="shared" si="10"/>
        <v>160.2</v>
      </c>
      <c r="AY33" s="181">
        <f t="shared" si="11"/>
        <v>40.05</v>
      </c>
      <c r="AZ33" s="182">
        <f t="shared" si="12"/>
        <v>20.025</v>
      </c>
      <c r="BA33" s="182">
        <f t="shared" si="20"/>
        <v>20.025</v>
      </c>
    </row>
    <row r="34" ht="15.75" customHeight="1">
      <c r="A34" s="145" t="str">
        <f t="shared" si="13"/>
        <v>Monterosso - TRF</v>
      </c>
      <c r="B34" s="145" t="s">
        <v>443</v>
      </c>
      <c r="C34" s="152" t="s">
        <v>79</v>
      </c>
      <c r="D34" s="153">
        <v>7.0</v>
      </c>
      <c r="E34" s="146">
        <v>500.0</v>
      </c>
      <c r="F34" s="111">
        <v>30.0</v>
      </c>
      <c r="G34" s="111"/>
      <c r="H34" s="111"/>
      <c r="I34" s="111"/>
      <c r="J34" s="111"/>
      <c r="K34" s="147"/>
      <c r="M34" s="173">
        <f>(E34)*'Base Operating Costs'!$B$13</f>
        <v>95</v>
      </c>
      <c r="N34" s="173">
        <f>(E34)*'Base Operating Costs'!$B$14</f>
        <v>70.35860656</v>
      </c>
      <c r="O34" s="173">
        <f>'Base Operating Costs'!$B$15*(E34)</f>
        <v>80.5009375</v>
      </c>
      <c r="P34" s="173">
        <f>D34*'Base Operating Costs'!$B$4</f>
        <v>154</v>
      </c>
      <c r="Q34" s="174">
        <f t="shared" si="2"/>
        <v>30</v>
      </c>
      <c r="R34" s="174">
        <f t="shared" si="14"/>
        <v>429.8595441</v>
      </c>
      <c r="S34" s="175">
        <f t="shared" si="15"/>
        <v>429.8672533</v>
      </c>
      <c r="T34" s="176">
        <f>S34*(1+'Pricing Policies'!$C$5/100)*'Pricing Policies'!$D$4*IF($C34="TRF",1,(1+Markups!$B$4/100))</f>
        <v>496.9265449</v>
      </c>
      <c r="U34" s="176">
        <f>S34*(1+'Pricing Policies'!$C$5/100)*'Pricing Policies'!$E$4*IF($C34="TRF",1,(1+Markups!$B$4/100))</f>
        <v>584.6194645</v>
      </c>
      <c r="V34" s="176">
        <f>S34*(1+'Pricing Policies'!$C$5/100)*'Pricing Policies'!$F$4*IF($C34="TRF",1,(1+Markups!$B$4/100))</f>
        <v>701.5433574</v>
      </c>
      <c r="W34" s="176">
        <f>S34*(1+'Pricing Policies'!$C$6/100)*'Pricing Policies'!$D$4*IF($C34="TRF",1,(1+Markups!$B$4/100))</f>
        <v>529.8113897</v>
      </c>
      <c r="X34" s="176">
        <f>S34*(1+'Pricing Policies'!$C$6/100)*'Pricing Policies'!$E$4*IF($C34="TRF",1,(1+Markups!$B$4/100))</f>
        <v>623.3075173</v>
      </c>
      <c r="Y34" s="176">
        <f>S34*(1+'Pricing Policies'!$C$6/100)*'Pricing Policies'!$F$4*IF($C34="TRF",1,(1+Markups!$B$4/100))</f>
        <v>747.9690208</v>
      </c>
      <c r="Z34" s="176">
        <f>S34*(1+'Pricing Policies'!$C$7/100)*'Pricing Policies'!$D$4*IF($C34="TRF",1,(1+Markups!$B$4/100))</f>
        <v>579.1386571</v>
      </c>
      <c r="AA34" s="176">
        <f>S34*(1+'Pricing Policies'!$C$7/100)*'Pricing Policies'!$E$4*IF($C34="TRF",1,(1+Markups!$B$4/100))</f>
        <v>681.3395965</v>
      </c>
      <c r="AB34" s="176">
        <f>S34*(1+'Pricing Policies'!$C$7/100)*'Pricing Policies'!$F$4*IF($C34="TRF",1,(1+Markups!$B$4/100))</f>
        <v>817.6075158</v>
      </c>
      <c r="AC34" s="73">
        <f t="shared" si="21"/>
        <v>2</v>
      </c>
      <c r="AD34" s="177">
        <f t="shared" si="3"/>
        <v>0</v>
      </c>
      <c r="AE34" s="178">
        <f>AD34*(1+'Pricing Policies'!$C$12/100)*'Pricing Policies'!$D$11</f>
        <v>0</v>
      </c>
      <c r="AF34" s="178">
        <f>AD34*(1+'Pricing Policies'!$C$12/100)*'Pricing Policies'!$E$11</f>
        <v>0</v>
      </c>
      <c r="AG34" s="178">
        <f>AD34*(1+'Pricing Policies'!$C$12/100)*'Pricing Policies'!$F$11</f>
        <v>0</v>
      </c>
      <c r="AH34" s="178">
        <f>AD34*(1+'Pricing Policies'!$C$13/100)*'Pricing Policies'!$D$11</f>
        <v>0</v>
      </c>
      <c r="AI34" s="178">
        <f>AD34*(1+'Pricing Policies'!$C$13/100)*'Pricing Policies'!$E$11</f>
        <v>0</v>
      </c>
      <c r="AJ34" s="178">
        <f>AD34*(1+'Pricing Policies'!$C$13/100)*'Pricing Policies'!$F$11</f>
        <v>0</v>
      </c>
      <c r="AK34" s="178">
        <f>AD34*(1+'Pricing Policies'!$C$14/100)*'Pricing Policies'!$D$11</f>
        <v>0</v>
      </c>
      <c r="AL34" s="178">
        <f>AD34*(1+'Pricing Policies'!$C$14/100)*'Pricing Policies'!$E$11</f>
        <v>0</v>
      </c>
      <c r="AM34" s="178">
        <f>AD34*(1+'Pricing Policies'!$C$14/100)*'Pricing Policies'!$F$11</f>
        <v>0</v>
      </c>
      <c r="AN34" s="178">
        <f t="shared" si="4"/>
        <v>584.6194645</v>
      </c>
      <c r="AO34" s="178">
        <f t="shared" si="5"/>
        <v>0</v>
      </c>
      <c r="AP34" s="178">
        <f t="shared" si="16"/>
        <v>584.6194645</v>
      </c>
      <c r="AQ34" s="179">
        <f t="shared" si="17"/>
        <v>585</v>
      </c>
      <c r="AR34" s="166">
        <f t="shared" si="6"/>
        <v>0.1</v>
      </c>
      <c r="AS34" s="176">
        <f t="shared" si="7"/>
        <v>58.5</v>
      </c>
      <c r="AT34" s="166">
        <f t="shared" si="8"/>
        <v>0.05</v>
      </c>
      <c r="AU34" s="176">
        <f t="shared" si="9"/>
        <v>32.175</v>
      </c>
      <c r="AV34" s="176">
        <f t="shared" si="18"/>
        <v>675.675</v>
      </c>
      <c r="AW34" s="180">
        <f t="shared" si="19"/>
        <v>680</v>
      </c>
      <c r="AX34" s="176">
        <f t="shared" si="10"/>
        <v>589.325</v>
      </c>
      <c r="AY34" s="181">
        <f t="shared" si="11"/>
        <v>147.33125</v>
      </c>
      <c r="AZ34" s="182">
        <f t="shared" si="12"/>
        <v>21.04732143</v>
      </c>
      <c r="BA34" s="182">
        <f t="shared" si="20"/>
        <v>21.04732143</v>
      </c>
    </row>
    <row r="35" ht="15.75" customHeight="1">
      <c r="A35" s="145" t="str">
        <f t="shared" si="13"/>
        <v>MXP - TRF</v>
      </c>
      <c r="B35" s="145" t="s">
        <v>444</v>
      </c>
      <c r="C35" s="152" t="s">
        <v>79</v>
      </c>
      <c r="D35" s="146">
        <v>9.0</v>
      </c>
      <c r="E35" s="146">
        <v>830.0</v>
      </c>
      <c r="F35" s="111">
        <v>60.0</v>
      </c>
      <c r="G35" s="111"/>
      <c r="H35" s="111"/>
      <c r="I35" s="111"/>
      <c r="J35" s="111"/>
      <c r="K35" s="147"/>
      <c r="M35" s="173">
        <f>(E35)*'Base Operating Costs'!$B$13</f>
        <v>157.7</v>
      </c>
      <c r="N35" s="173">
        <f>(E35)*'Base Operating Costs'!$B$14</f>
        <v>116.7952869</v>
      </c>
      <c r="O35" s="173">
        <f>'Base Operating Costs'!$B$15*(E35)</f>
        <v>133.6315563</v>
      </c>
      <c r="P35" s="173">
        <f>D35*'Base Operating Costs'!$B$4</f>
        <v>198</v>
      </c>
      <c r="Q35" s="174">
        <f t="shared" si="2"/>
        <v>60</v>
      </c>
      <c r="R35" s="174">
        <f t="shared" si="14"/>
        <v>666.1268431</v>
      </c>
      <c r="S35" s="175">
        <f t="shared" si="15"/>
        <v>599.5141658</v>
      </c>
      <c r="T35" s="176">
        <f>S35*(1+'Pricing Policies'!$C$5/100)*'Pricing Policies'!$D$4*IF($C35="TRF",1,(1+Markups!$B$4/100))</f>
        <v>693.0383757</v>
      </c>
      <c r="U35" s="176">
        <f>S35*(1+'Pricing Policies'!$C$5/100)*'Pricing Policies'!$E$4*IF($C35="TRF",1,(1+Markups!$B$4/100))</f>
        <v>815.3392656</v>
      </c>
      <c r="V35" s="176">
        <f>S35*(1+'Pricing Policies'!$C$5/100)*'Pricing Policies'!$F$4*IF($C35="TRF",1,(1+Markups!$B$4/100))</f>
        <v>978.4071187</v>
      </c>
      <c r="W35" s="176">
        <f>S35*(1+'Pricing Policies'!$C$6/100)*'Pricing Policies'!$D$4*IF($C35="TRF",1,(1+Markups!$B$4/100))</f>
        <v>738.9012094</v>
      </c>
      <c r="X35" s="176">
        <f>S35*(1+'Pricing Policies'!$C$6/100)*'Pricing Policies'!$E$4*IF($C35="TRF",1,(1+Markups!$B$4/100))</f>
        <v>869.2955405</v>
      </c>
      <c r="Y35" s="176">
        <f>S35*(1+'Pricing Policies'!$C$6/100)*'Pricing Policies'!$F$4*IF($C35="TRF",1,(1+Markups!$B$4/100))</f>
        <v>1043.154649</v>
      </c>
      <c r="Z35" s="176">
        <f>S35*(1+'Pricing Policies'!$C$7/100)*'Pricing Policies'!$D$4*IF($C35="TRF",1,(1+Markups!$B$4/100))</f>
        <v>807.6954599</v>
      </c>
      <c r="AA35" s="176">
        <f>S35*(1+'Pricing Policies'!$C$7/100)*'Pricing Policies'!$E$4*IF($C35="TRF",1,(1+Markups!$B$4/100))</f>
        <v>950.2299529</v>
      </c>
      <c r="AB35" s="176">
        <f>S35*(1+'Pricing Policies'!$C$7/100)*'Pricing Policies'!$F$4*IF($C35="TRF",1,(1+Markups!$B$4/100))</f>
        <v>1140.275943</v>
      </c>
      <c r="AC35" s="73">
        <f t="shared" si="21"/>
        <v>2</v>
      </c>
      <c r="AD35" s="177">
        <f t="shared" si="3"/>
        <v>0</v>
      </c>
      <c r="AE35" s="178">
        <f>AD35*(1+'Pricing Policies'!$C$12/100)*'Pricing Policies'!$D$11</f>
        <v>0</v>
      </c>
      <c r="AF35" s="178">
        <f>AD35*(1+'Pricing Policies'!$C$12/100)*'Pricing Policies'!$E$11</f>
        <v>0</v>
      </c>
      <c r="AG35" s="178">
        <f>AD35*(1+'Pricing Policies'!$C$12/100)*'Pricing Policies'!$F$11</f>
        <v>0</v>
      </c>
      <c r="AH35" s="178">
        <f>AD35*(1+'Pricing Policies'!$C$13/100)*'Pricing Policies'!$D$11</f>
        <v>0</v>
      </c>
      <c r="AI35" s="178">
        <f>AD35*(1+'Pricing Policies'!$C$13/100)*'Pricing Policies'!$E$11</f>
        <v>0</v>
      </c>
      <c r="AJ35" s="178">
        <f>AD35*(1+'Pricing Policies'!$C$13/100)*'Pricing Policies'!$F$11</f>
        <v>0</v>
      </c>
      <c r="AK35" s="178">
        <f>AD35*(1+'Pricing Policies'!$C$14/100)*'Pricing Policies'!$D$11</f>
        <v>0</v>
      </c>
      <c r="AL35" s="178">
        <f>AD35*(1+'Pricing Policies'!$C$14/100)*'Pricing Policies'!$E$11</f>
        <v>0</v>
      </c>
      <c r="AM35" s="178">
        <f>AD35*(1+'Pricing Policies'!$C$14/100)*'Pricing Policies'!$F$11</f>
        <v>0</v>
      </c>
      <c r="AN35" s="178">
        <f t="shared" si="4"/>
        <v>815.3392656</v>
      </c>
      <c r="AO35" s="178">
        <f t="shared" si="5"/>
        <v>0</v>
      </c>
      <c r="AP35" s="178">
        <f t="shared" si="16"/>
        <v>815.3392656</v>
      </c>
      <c r="AQ35" s="179">
        <f t="shared" si="17"/>
        <v>820</v>
      </c>
      <c r="AR35" s="166">
        <f t="shared" si="6"/>
        <v>0.1</v>
      </c>
      <c r="AS35" s="176">
        <f t="shared" si="7"/>
        <v>82</v>
      </c>
      <c r="AT35" s="166">
        <f t="shared" si="8"/>
        <v>0.05</v>
      </c>
      <c r="AU35" s="176">
        <f t="shared" si="9"/>
        <v>45.1</v>
      </c>
      <c r="AV35" s="176">
        <f t="shared" si="18"/>
        <v>947.1</v>
      </c>
      <c r="AW35" s="180">
        <f t="shared" si="19"/>
        <v>950</v>
      </c>
      <c r="AX35" s="176">
        <f t="shared" si="10"/>
        <v>822.9</v>
      </c>
      <c r="AY35" s="181">
        <f t="shared" si="11"/>
        <v>205.725</v>
      </c>
      <c r="AZ35" s="182">
        <f t="shared" si="12"/>
        <v>22.85833333</v>
      </c>
      <c r="BA35" s="182">
        <f t="shared" si="20"/>
        <v>22</v>
      </c>
    </row>
    <row r="36" ht="15.75" customHeight="1">
      <c r="A36" s="145" t="str">
        <f t="shared" si="13"/>
        <v>Napoli - TRF</v>
      </c>
      <c r="B36" s="145" t="s">
        <v>445</v>
      </c>
      <c r="C36" s="152" t="s">
        <v>79</v>
      </c>
      <c r="D36" s="146">
        <v>9.0</v>
      </c>
      <c r="E36" s="146">
        <v>860.0</v>
      </c>
      <c r="F36" s="111">
        <v>60.0</v>
      </c>
      <c r="G36" s="111"/>
      <c r="H36" s="111"/>
      <c r="I36" s="111"/>
      <c r="J36" s="111"/>
      <c r="K36" s="147"/>
      <c r="M36" s="173">
        <f>(E36)*'Base Operating Costs'!$B$13</f>
        <v>163.4</v>
      </c>
      <c r="N36" s="173">
        <f>(E36)*'Base Operating Costs'!$B$14</f>
        <v>121.0168033</v>
      </c>
      <c r="O36" s="173">
        <f>'Base Operating Costs'!$B$15*(E36)</f>
        <v>138.4616125</v>
      </c>
      <c r="P36" s="173">
        <f>D36*'Base Operating Costs'!$B$4</f>
        <v>198</v>
      </c>
      <c r="Q36" s="174">
        <f t="shared" si="2"/>
        <v>60</v>
      </c>
      <c r="R36" s="174">
        <f t="shared" si="14"/>
        <v>680.8784158</v>
      </c>
      <c r="S36" s="175">
        <f t="shared" si="15"/>
        <v>612.7905779</v>
      </c>
      <c r="T36" s="176">
        <f>S36*(1+'Pricing Policies'!$C$5/100)*'Pricing Policies'!$D$4*IF($C36="TRF",1,(1+Markups!$B$4/100))</f>
        <v>708.385908</v>
      </c>
      <c r="U36" s="176">
        <f>S36*(1+'Pricing Policies'!$C$5/100)*'Pricing Policies'!$E$4*IF($C36="TRF",1,(1+Markups!$B$4/100))</f>
        <v>833.3951859</v>
      </c>
      <c r="V36" s="176">
        <f>S36*(1+'Pricing Policies'!$C$5/100)*'Pricing Policies'!$F$4*IF($C36="TRF",1,(1+Markups!$B$4/100))</f>
        <v>1000.074223</v>
      </c>
      <c r="W36" s="176">
        <f>S36*(1+'Pricing Policies'!$C$6/100)*'Pricing Policies'!$D$4*IF($C36="TRF",1,(1+Markups!$B$4/100))</f>
        <v>755.2643872</v>
      </c>
      <c r="X36" s="176">
        <f>S36*(1+'Pricing Policies'!$C$6/100)*'Pricing Policies'!$E$4*IF($C36="TRF",1,(1+Markups!$B$4/100))</f>
        <v>888.5463379</v>
      </c>
      <c r="Y36" s="176">
        <f>S36*(1+'Pricing Policies'!$C$6/100)*'Pricing Policies'!$F$4*IF($C36="TRF",1,(1+Markups!$B$4/100))</f>
        <v>1066.255606</v>
      </c>
      <c r="Z36" s="176">
        <f>S36*(1+'Pricing Policies'!$C$7/100)*'Pricing Policies'!$D$4*IF($C36="TRF",1,(1+Markups!$B$4/100))</f>
        <v>825.5821061</v>
      </c>
      <c r="AA36" s="176">
        <f>S36*(1+'Pricing Policies'!$C$7/100)*'Pricing Policies'!$E$4*IF($C36="TRF",1,(1+Markups!$B$4/100))</f>
        <v>971.273066</v>
      </c>
      <c r="AB36" s="176">
        <f>S36*(1+'Pricing Policies'!$C$7/100)*'Pricing Policies'!$F$4*IF($C36="TRF",1,(1+Markups!$B$4/100))</f>
        <v>1165.527679</v>
      </c>
      <c r="AC36" s="73">
        <f t="shared" si="21"/>
        <v>2</v>
      </c>
      <c r="AD36" s="177">
        <f t="shared" si="3"/>
        <v>0</v>
      </c>
      <c r="AE36" s="178">
        <f>AD36*(1+'Pricing Policies'!$C$12/100)*'Pricing Policies'!$D$11</f>
        <v>0</v>
      </c>
      <c r="AF36" s="178">
        <f>AD36*(1+'Pricing Policies'!$C$12/100)*'Pricing Policies'!$E$11</f>
        <v>0</v>
      </c>
      <c r="AG36" s="178">
        <f>AD36*(1+'Pricing Policies'!$C$12/100)*'Pricing Policies'!$F$11</f>
        <v>0</v>
      </c>
      <c r="AH36" s="178">
        <f>AD36*(1+'Pricing Policies'!$C$13/100)*'Pricing Policies'!$D$11</f>
        <v>0</v>
      </c>
      <c r="AI36" s="178">
        <f>AD36*(1+'Pricing Policies'!$C$13/100)*'Pricing Policies'!$E$11</f>
        <v>0</v>
      </c>
      <c r="AJ36" s="178">
        <f>AD36*(1+'Pricing Policies'!$C$13/100)*'Pricing Policies'!$F$11</f>
        <v>0</v>
      </c>
      <c r="AK36" s="178">
        <f>AD36*(1+'Pricing Policies'!$C$14/100)*'Pricing Policies'!$D$11</f>
        <v>0</v>
      </c>
      <c r="AL36" s="178">
        <f>AD36*(1+'Pricing Policies'!$C$14/100)*'Pricing Policies'!$E$11</f>
        <v>0</v>
      </c>
      <c r="AM36" s="178">
        <f>AD36*(1+'Pricing Policies'!$C$14/100)*'Pricing Policies'!$F$11</f>
        <v>0</v>
      </c>
      <c r="AN36" s="178">
        <f t="shared" si="4"/>
        <v>833.3951859</v>
      </c>
      <c r="AO36" s="178">
        <f t="shared" si="5"/>
        <v>0</v>
      </c>
      <c r="AP36" s="178">
        <f t="shared" si="16"/>
        <v>833.3951859</v>
      </c>
      <c r="AQ36" s="179">
        <f t="shared" si="17"/>
        <v>835</v>
      </c>
      <c r="AR36" s="166">
        <f t="shared" si="6"/>
        <v>0.1</v>
      </c>
      <c r="AS36" s="176">
        <f t="shared" si="7"/>
        <v>83.5</v>
      </c>
      <c r="AT36" s="166">
        <f t="shared" si="8"/>
        <v>0.05</v>
      </c>
      <c r="AU36" s="176">
        <f t="shared" si="9"/>
        <v>45.925</v>
      </c>
      <c r="AV36" s="176">
        <f t="shared" si="18"/>
        <v>964.425</v>
      </c>
      <c r="AW36" s="180">
        <f t="shared" si="19"/>
        <v>965</v>
      </c>
      <c r="AX36" s="176">
        <f t="shared" si="10"/>
        <v>835.575</v>
      </c>
      <c r="AY36" s="181">
        <f t="shared" si="11"/>
        <v>208.89375</v>
      </c>
      <c r="AZ36" s="182">
        <f t="shared" si="12"/>
        <v>23.21041667</v>
      </c>
      <c r="BA36" s="182">
        <f t="shared" si="20"/>
        <v>22</v>
      </c>
    </row>
    <row r="37" ht="15.75" customHeight="1">
      <c r="A37" s="145" t="str">
        <f t="shared" si="13"/>
        <v>Orvieto - TRF</v>
      </c>
      <c r="B37" s="145" t="s">
        <v>446</v>
      </c>
      <c r="C37" s="152" t="s">
        <v>79</v>
      </c>
      <c r="D37" s="153">
        <v>4.0</v>
      </c>
      <c r="E37" s="146">
        <v>250.0</v>
      </c>
      <c r="F37" s="111">
        <v>10.0</v>
      </c>
      <c r="G37" s="111"/>
      <c r="H37" s="111"/>
      <c r="I37" s="111"/>
      <c r="J37" s="111"/>
      <c r="K37" s="147"/>
      <c r="M37" s="173">
        <f>(E37)*'Base Operating Costs'!$B$13</f>
        <v>47.5</v>
      </c>
      <c r="N37" s="173">
        <f>(E37)*'Base Operating Costs'!$B$14</f>
        <v>35.17930328</v>
      </c>
      <c r="O37" s="173">
        <f>'Base Operating Costs'!$B$15*(E37)</f>
        <v>40.25046875</v>
      </c>
      <c r="P37" s="173">
        <f>D37*'Base Operating Costs'!$B$4</f>
        <v>88</v>
      </c>
      <c r="Q37" s="174">
        <f t="shared" si="2"/>
        <v>10</v>
      </c>
      <c r="R37" s="174">
        <f t="shared" si="14"/>
        <v>220.929772</v>
      </c>
      <c r="S37" s="175">
        <f t="shared" si="15"/>
        <v>221.9546883</v>
      </c>
      <c r="T37" s="176">
        <f>S37*(1+'Pricing Policies'!$C$5/100)*'Pricing Policies'!$D$4*IF($C37="TRF",1,(1+Markups!$B$4/100))</f>
        <v>256.5796196</v>
      </c>
      <c r="U37" s="176">
        <f>S37*(1+'Pricing Policies'!$C$5/100)*'Pricing Policies'!$E$4*IF($C37="TRF",1,(1+Markups!$B$4/100))</f>
        <v>301.858376</v>
      </c>
      <c r="V37" s="176">
        <f>S37*(1+'Pricing Policies'!$C$5/100)*'Pricing Policies'!$F$4*IF($C37="TRF",1,(1+Markups!$B$4/100))</f>
        <v>362.2300512</v>
      </c>
      <c r="W37" s="176">
        <f>S37*(1+'Pricing Policies'!$C$6/100)*'Pricing Policies'!$D$4*IF($C37="TRF",1,(1+Markups!$B$4/100))</f>
        <v>273.5591533</v>
      </c>
      <c r="X37" s="176">
        <f>S37*(1+'Pricing Policies'!$C$6/100)*'Pricing Policies'!$E$4*IF($C37="TRF",1,(1+Markups!$B$4/100))</f>
        <v>321.834298</v>
      </c>
      <c r="Y37" s="176">
        <f>S37*(1+'Pricing Policies'!$C$6/100)*'Pricing Policies'!$F$4*IF($C37="TRF",1,(1+Markups!$B$4/100))</f>
        <v>386.2011576</v>
      </c>
      <c r="Z37" s="176">
        <f>S37*(1+'Pricing Policies'!$C$7/100)*'Pricing Policies'!$D$4*IF($C37="TRF",1,(1+Markups!$B$4/100))</f>
        <v>299.0284538</v>
      </c>
      <c r="AA37" s="176">
        <f>S37*(1+'Pricing Policies'!$C$7/100)*'Pricing Policies'!$E$4*IF($C37="TRF",1,(1+Markups!$B$4/100))</f>
        <v>351.7981809</v>
      </c>
      <c r="AB37" s="176">
        <f>S37*(1+'Pricing Policies'!$C$7/100)*'Pricing Policies'!$F$4*IF($C37="TRF",1,(1+Markups!$B$4/100))</f>
        <v>422.1578171</v>
      </c>
      <c r="AC37" s="73">
        <f t="shared" si="21"/>
        <v>2</v>
      </c>
      <c r="AD37" s="177">
        <f t="shared" si="3"/>
        <v>0</v>
      </c>
      <c r="AE37" s="178">
        <f>AD37*(1+'Pricing Policies'!$C$12/100)*'Pricing Policies'!$D$11</f>
        <v>0</v>
      </c>
      <c r="AF37" s="178">
        <f>AD37*(1+'Pricing Policies'!$C$12/100)*'Pricing Policies'!$E$11</f>
        <v>0</v>
      </c>
      <c r="AG37" s="178">
        <f>AD37*(1+'Pricing Policies'!$C$12/100)*'Pricing Policies'!$F$11</f>
        <v>0</v>
      </c>
      <c r="AH37" s="178">
        <f>AD37*(1+'Pricing Policies'!$C$13/100)*'Pricing Policies'!$D$11</f>
        <v>0</v>
      </c>
      <c r="AI37" s="178">
        <f>AD37*(1+'Pricing Policies'!$C$13/100)*'Pricing Policies'!$E$11</f>
        <v>0</v>
      </c>
      <c r="AJ37" s="178">
        <f>AD37*(1+'Pricing Policies'!$C$13/100)*'Pricing Policies'!$F$11</f>
        <v>0</v>
      </c>
      <c r="AK37" s="178">
        <f>AD37*(1+'Pricing Policies'!$C$14/100)*'Pricing Policies'!$D$11</f>
        <v>0</v>
      </c>
      <c r="AL37" s="178">
        <f>AD37*(1+'Pricing Policies'!$C$14/100)*'Pricing Policies'!$E$11</f>
        <v>0</v>
      </c>
      <c r="AM37" s="178">
        <f>AD37*(1+'Pricing Policies'!$C$14/100)*'Pricing Policies'!$F$11</f>
        <v>0</v>
      </c>
      <c r="AN37" s="178">
        <f t="shared" si="4"/>
        <v>301.858376</v>
      </c>
      <c r="AO37" s="178">
        <f t="shared" si="5"/>
        <v>0</v>
      </c>
      <c r="AP37" s="178">
        <f t="shared" si="16"/>
        <v>301.858376</v>
      </c>
      <c r="AQ37" s="179">
        <f t="shared" si="17"/>
        <v>305</v>
      </c>
      <c r="AR37" s="166">
        <f t="shared" si="6"/>
        <v>0.1</v>
      </c>
      <c r="AS37" s="176">
        <f t="shared" si="7"/>
        <v>30.5</v>
      </c>
      <c r="AT37" s="166">
        <f t="shared" si="8"/>
        <v>0.05</v>
      </c>
      <c r="AU37" s="176">
        <f t="shared" si="9"/>
        <v>16.775</v>
      </c>
      <c r="AV37" s="176">
        <f t="shared" si="18"/>
        <v>352.275</v>
      </c>
      <c r="AW37" s="180">
        <f t="shared" si="19"/>
        <v>355</v>
      </c>
      <c r="AX37" s="176">
        <f t="shared" si="10"/>
        <v>307.725</v>
      </c>
      <c r="AY37" s="181">
        <f t="shared" si="11"/>
        <v>76.93125</v>
      </c>
      <c r="AZ37" s="182">
        <f t="shared" si="12"/>
        <v>19.2328125</v>
      </c>
      <c r="BA37" s="182">
        <f t="shared" si="20"/>
        <v>19.2328125</v>
      </c>
    </row>
    <row r="38" ht="15.75" customHeight="1">
      <c r="A38" s="145" t="str">
        <f t="shared" si="13"/>
        <v>Perugia - TRF</v>
      </c>
      <c r="B38" s="145" t="s">
        <v>447</v>
      </c>
      <c r="C38" s="152" t="s">
        <v>79</v>
      </c>
      <c r="D38" s="146">
        <v>4.0</v>
      </c>
      <c r="E38" s="146">
        <v>250.0</v>
      </c>
      <c r="F38" s="111">
        <v>0.0</v>
      </c>
      <c r="G38" s="111"/>
      <c r="H38" s="111"/>
      <c r="I38" s="111"/>
      <c r="J38" s="111"/>
      <c r="K38" s="147"/>
      <c r="M38" s="173">
        <f>(E38)*'Base Operating Costs'!$B$13</f>
        <v>47.5</v>
      </c>
      <c r="N38" s="173">
        <f>(E38)*'Base Operating Costs'!$B$14</f>
        <v>35.17930328</v>
      </c>
      <c r="O38" s="173">
        <f>'Base Operating Costs'!$B$15*(E38)</f>
        <v>40.25046875</v>
      </c>
      <c r="P38" s="173">
        <f>D38*'Base Operating Costs'!$B$4</f>
        <v>88</v>
      </c>
      <c r="Q38" s="174">
        <f t="shared" si="2"/>
        <v>0</v>
      </c>
      <c r="R38" s="174">
        <f t="shared" si="14"/>
        <v>210.929772</v>
      </c>
      <c r="S38" s="175">
        <f t="shared" si="15"/>
        <v>211.9082972</v>
      </c>
      <c r="T38" s="176">
        <f>S38*(1+'Pricing Policies'!$C$5/100)*'Pricing Policies'!$D$4*IF($C38="TRF",1,(1+Markups!$B$4/100))</f>
        <v>244.9659916</v>
      </c>
      <c r="U38" s="176">
        <f>S38*(1+'Pricing Policies'!$C$5/100)*'Pricing Policies'!$E$4*IF($C38="TRF",1,(1+Markups!$B$4/100))</f>
        <v>288.1952842</v>
      </c>
      <c r="V38" s="176">
        <f>S38*(1+'Pricing Policies'!$C$5/100)*'Pricing Policies'!$F$4*IF($C38="TRF",1,(1+Markups!$B$4/100))</f>
        <v>345.8343411</v>
      </c>
      <c r="W38" s="176">
        <f>S38*(1+'Pricing Policies'!$C$6/100)*'Pricing Policies'!$D$4*IF($C38="TRF",1,(1+Markups!$B$4/100))</f>
        <v>261.1769763</v>
      </c>
      <c r="X38" s="176">
        <f>S38*(1+'Pricing Policies'!$C$6/100)*'Pricing Policies'!$E$4*IF($C38="TRF",1,(1+Markups!$B$4/100))</f>
        <v>307.267031</v>
      </c>
      <c r="Y38" s="176">
        <f>S38*(1+'Pricing Policies'!$C$6/100)*'Pricing Policies'!$F$4*IF($C38="TRF",1,(1+Markups!$B$4/100))</f>
        <v>368.7204372</v>
      </c>
      <c r="Z38" s="176">
        <f>S38*(1+'Pricing Policies'!$C$7/100)*'Pricing Policies'!$D$4*IF($C38="TRF",1,(1+Markups!$B$4/100))</f>
        <v>285.4934534</v>
      </c>
      <c r="AA38" s="176">
        <f>S38*(1+'Pricing Policies'!$C$7/100)*'Pricing Policies'!$E$4*IF($C38="TRF",1,(1+Markups!$B$4/100))</f>
        <v>335.8746511</v>
      </c>
      <c r="AB38" s="176">
        <f>S38*(1+'Pricing Policies'!$C$7/100)*'Pricing Policies'!$F$4*IF($C38="TRF",1,(1+Markups!$B$4/100))</f>
        <v>403.0495813</v>
      </c>
      <c r="AC38" s="73">
        <f t="shared" si="21"/>
        <v>2</v>
      </c>
      <c r="AD38" s="177">
        <f t="shared" si="3"/>
        <v>0</v>
      </c>
      <c r="AE38" s="178">
        <f>AD38*(1+'Pricing Policies'!$C$12/100)*'Pricing Policies'!$D$11</f>
        <v>0</v>
      </c>
      <c r="AF38" s="178">
        <f>AD38*(1+'Pricing Policies'!$C$12/100)*'Pricing Policies'!$E$11</f>
        <v>0</v>
      </c>
      <c r="AG38" s="178">
        <f>AD38*(1+'Pricing Policies'!$C$12/100)*'Pricing Policies'!$F$11</f>
        <v>0</v>
      </c>
      <c r="AH38" s="178">
        <f>AD38*(1+'Pricing Policies'!$C$13/100)*'Pricing Policies'!$D$11</f>
        <v>0</v>
      </c>
      <c r="AI38" s="178">
        <f>AD38*(1+'Pricing Policies'!$C$13/100)*'Pricing Policies'!$E$11</f>
        <v>0</v>
      </c>
      <c r="AJ38" s="178">
        <f>AD38*(1+'Pricing Policies'!$C$13/100)*'Pricing Policies'!$F$11</f>
        <v>0</v>
      </c>
      <c r="AK38" s="178">
        <f>AD38*(1+'Pricing Policies'!$C$14/100)*'Pricing Policies'!$D$11</f>
        <v>0</v>
      </c>
      <c r="AL38" s="178">
        <f>AD38*(1+'Pricing Policies'!$C$14/100)*'Pricing Policies'!$E$11</f>
        <v>0</v>
      </c>
      <c r="AM38" s="178">
        <f>AD38*(1+'Pricing Policies'!$C$14/100)*'Pricing Policies'!$F$11</f>
        <v>0</v>
      </c>
      <c r="AN38" s="178">
        <f t="shared" si="4"/>
        <v>288.1952842</v>
      </c>
      <c r="AO38" s="178">
        <f t="shared" si="5"/>
        <v>0</v>
      </c>
      <c r="AP38" s="178">
        <f t="shared" si="16"/>
        <v>288.1952842</v>
      </c>
      <c r="AQ38" s="179">
        <f t="shared" si="17"/>
        <v>290</v>
      </c>
      <c r="AR38" s="166">
        <f t="shared" si="6"/>
        <v>0.1</v>
      </c>
      <c r="AS38" s="176">
        <f t="shared" si="7"/>
        <v>29</v>
      </c>
      <c r="AT38" s="166">
        <f t="shared" si="8"/>
        <v>0.05</v>
      </c>
      <c r="AU38" s="176">
        <f t="shared" si="9"/>
        <v>15.95</v>
      </c>
      <c r="AV38" s="176">
        <f t="shared" si="18"/>
        <v>334.95</v>
      </c>
      <c r="AW38" s="180">
        <f t="shared" si="19"/>
        <v>335</v>
      </c>
      <c r="AX38" s="176">
        <f t="shared" si="10"/>
        <v>290.05</v>
      </c>
      <c r="AY38" s="181">
        <f t="shared" si="11"/>
        <v>72.5125</v>
      </c>
      <c r="AZ38" s="182">
        <f t="shared" si="12"/>
        <v>18.128125</v>
      </c>
      <c r="BA38" s="182">
        <f t="shared" si="20"/>
        <v>18.128125</v>
      </c>
    </row>
    <row r="39" ht="15.75" customHeight="1">
      <c r="A39" s="145" t="str">
        <f t="shared" si="13"/>
        <v>Pisa - TRF</v>
      </c>
      <c r="B39" s="145" t="s">
        <v>448</v>
      </c>
      <c r="C39" s="152" t="s">
        <v>79</v>
      </c>
      <c r="D39" s="146">
        <v>4.0</v>
      </c>
      <c r="E39" s="146">
        <v>250.0</v>
      </c>
      <c r="F39" s="111">
        <v>0.0</v>
      </c>
      <c r="G39" s="111"/>
      <c r="H39" s="111"/>
      <c r="I39" s="111"/>
      <c r="J39" s="111"/>
      <c r="K39" s="147"/>
      <c r="M39" s="173">
        <f>(E39)*'Base Operating Costs'!$B$13</f>
        <v>47.5</v>
      </c>
      <c r="N39" s="173">
        <f>(E39)*'Base Operating Costs'!$B$14</f>
        <v>35.17930328</v>
      </c>
      <c r="O39" s="173">
        <f>'Base Operating Costs'!$B$15*(E39)</f>
        <v>40.25046875</v>
      </c>
      <c r="P39" s="173">
        <f>D39*'Base Operating Costs'!$B$4</f>
        <v>88</v>
      </c>
      <c r="Q39" s="174">
        <f t="shared" si="2"/>
        <v>0</v>
      </c>
      <c r="R39" s="174">
        <f t="shared" si="14"/>
        <v>210.929772</v>
      </c>
      <c r="S39" s="175">
        <f t="shared" si="15"/>
        <v>211.9082972</v>
      </c>
      <c r="T39" s="176">
        <f>S39*(1+'Pricing Policies'!$C$5/100)*'Pricing Policies'!$D$4*IF($C39="TRF",1,(1+Markups!$B$4/100))</f>
        <v>244.9659916</v>
      </c>
      <c r="U39" s="176">
        <f>S39*(1+'Pricing Policies'!$C$5/100)*'Pricing Policies'!$E$4*IF($C39="TRF",1,(1+Markups!$B$4/100))</f>
        <v>288.1952842</v>
      </c>
      <c r="V39" s="176">
        <f>S39*(1+'Pricing Policies'!$C$5/100)*'Pricing Policies'!$F$4*IF($C39="TRF",1,(1+Markups!$B$4/100))</f>
        <v>345.8343411</v>
      </c>
      <c r="W39" s="176">
        <f>S39*(1+'Pricing Policies'!$C$6/100)*'Pricing Policies'!$D$4*IF($C39="TRF",1,(1+Markups!$B$4/100))</f>
        <v>261.1769763</v>
      </c>
      <c r="X39" s="176">
        <f>S39*(1+'Pricing Policies'!$C$6/100)*'Pricing Policies'!$E$4*IF($C39="TRF",1,(1+Markups!$B$4/100))</f>
        <v>307.267031</v>
      </c>
      <c r="Y39" s="176">
        <f>S39*(1+'Pricing Policies'!$C$6/100)*'Pricing Policies'!$F$4*IF($C39="TRF",1,(1+Markups!$B$4/100))</f>
        <v>368.7204372</v>
      </c>
      <c r="Z39" s="176">
        <f>S39*(1+'Pricing Policies'!$C$7/100)*'Pricing Policies'!$D$4*IF($C39="TRF",1,(1+Markups!$B$4/100))</f>
        <v>285.4934534</v>
      </c>
      <c r="AA39" s="176">
        <f>S39*(1+'Pricing Policies'!$C$7/100)*'Pricing Policies'!$E$4*IF($C39="TRF",1,(1+Markups!$B$4/100))</f>
        <v>335.8746511</v>
      </c>
      <c r="AB39" s="176">
        <f>S39*(1+'Pricing Policies'!$C$7/100)*'Pricing Policies'!$F$4*IF($C39="TRF",1,(1+Markups!$B$4/100))</f>
        <v>403.0495813</v>
      </c>
      <c r="AC39" s="73">
        <f t="shared" si="21"/>
        <v>2</v>
      </c>
      <c r="AD39" s="177">
        <f t="shared" si="3"/>
        <v>0</v>
      </c>
      <c r="AE39" s="178">
        <f>AD39*(1+'Pricing Policies'!$C$12/100)*'Pricing Policies'!$D$11</f>
        <v>0</v>
      </c>
      <c r="AF39" s="178">
        <f>AD39*(1+'Pricing Policies'!$C$12/100)*'Pricing Policies'!$E$11</f>
        <v>0</v>
      </c>
      <c r="AG39" s="178">
        <f>AD39*(1+'Pricing Policies'!$C$12/100)*'Pricing Policies'!$F$11</f>
        <v>0</v>
      </c>
      <c r="AH39" s="178">
        <f>AD39*(1+'Pricing Policies'!$C$13/100)*'Pricing Policies'!$D$11</f>
        <v>0</v>
      </c>
      <c r="AI39" s="178">
        <f>AD39*(1+'Pricing Policies'!$C$13/100)*'Pricing Policies'!$E$11</f>
        <v>0</v>
      </c>
      <c r="AJ39" s="178">
        <f>AD39*(1+'Pricing Policies'!$C$13/100)*'Pricing Policies'!$F$11</f>
        <v>0</v>
      </c>
      <c r="AK39" s="178">
        <f>AD39*(1+'Pricing Policies'!$C$14/100)*'Pricing Policies'!$D$11</f>
        <v>0</v>
      </c>
      <c r="AL39" s="178">
        <f>AD39*(1+'Pricing Policies'!$C$14/100)*'Pricing Policies'!$E$11</f>
        <v>0</v>
      </c>
      <c r="AM39" s="178">
        <f>AD39*(1+'Pricing Policies'!$C$14/100)*'Pricing Policies'!$F$11</f>
        <v>0</v>
      </c>
      <c r="AN39" s="178">
        <f t="shared" si="4"/>
        <v>288.1952842</v>
      </c>
      <c r="AO39" s="178">
        <f t="shared" si="5"/>
        <v>0</v>
      </c>
      <c r="AP39" s="178">
        <f t="shared" si="16"/>
        <v>288.1952842</v>
      </c>
      <c r="AQ39" s="179">
        <f t="shared" si="17"/>
        <v>290</v>
      </c>
      <c r="AR39" s="166">
        <f t="shared" si="6"/>
        <v>0.1</v>
      </c>
      <c r="AS39" s="176">
        <f t="shared" si="7"/>
        <v>29</v>
      </c>
      <c r="AT39" s="166">
        <f t="shared" si="8"/>
        <v>0.05</v>
      </c>
      <c r="AU39" s="176">
        <f t="shared" si="9"/>
        <v>15.95</v>
      </c>
      <c r="AV39" s="176">
        <f t="shared" si="18"/>
        <v>334.95</v>
      </c>
      <c r="AW39" s="180">
        <f t="shared" si="19"/>
        <v>335</v>
      </c>
      <c r="AX39" s="176">
        <f t="shared" si="10"/>
        <v>290.05</v>
      </c>
      <c r="AY39" s="181">
        <f t="shared" si="11"/>
        <v>72.5125</v>
      </c>
      <c r="AZ39" s="182">
        <f t="shared" si="12"/>
        <v>18.128125</v>
      </c>
      <c r="BA39" s="182">
        <f t="shared" si="20"/>
        <v>18.128125</v>
      </c>
    </row>
    <row r="40" ht="15.75" customHeight="1">
      <c r="A40" s="145" t="str">
        <f t="shared" si="13"/>
        <v>Porto Ercole - TRF</v>
      </c>
      <c r="B40" s="145" t="s">
        <v>449</v>
      </c>
      <c r="C40" s="152" t="s">
        <v>79</v>
      </c>
      <c r="D40" s="146">
        <v>2.0</v>
      </c>
      <c r="E40" s="146">
        <v>250.0</v>
      </c>
      <c r="F40" s="111">
        <v>0.0</v>
      </c>
      <c r="G40" s="111"/>
      <c r="H40" s="111"/>
      <c r="I40" s="111"/>
      <c r="J40" s="111"/>
      <c r="K40" s="147"/>
      <c r="M40" s="173">
        <f>(E40)*'Base Operating Costs'!$B$13</f>
        <v>47.5</v>
      </c>
      <c r="N40" s="173">
        <f>(E40)*'Base Operating Costs'!$B$14</f>
        <v>35.17930328</v>
      </c>
      <c r="O40" s="173">
        <f>'Base Operating Costs'!$B$15*(E40)</f>
        <v>40.25046875</v>
      </c>
      <c r="P40" s="173">
        <f>D40*'Base Operating Costs'!$B$4</f>
        <v>44</v>
      </c>
      <c r="Q40" s="174">
        <f t="shared" si="2"/>
        <v>0</v>
      </c>
      <c r="R40" s="174">
        <f t="shared" si="14"/>
        <v>166.929772</v>
      </c>
      <c r="S40" s="175">
        <f t="shared" si="15"/>
        <v>167.7041766</v>
      </c>
      <c r="T40" s="176">
        <f>S40*(1+'Pricing Policies'!$C$5/100)*'Pricing Policies'!$D$4*IF($C40="TRF",1,(1+Markups!$B$4/100))</f>
        <v>193.8660282</v>
      </c>
      <c r="U40" s="176">
        <f>S40*(1+'Pricing Policies'!$C$5/100)*'Pricing Policies'!$E$4*IF($C40="TRF",1,(1+Markups!$B$4/100))</f>
        <v>228.0776802</v>
      </c>
      <c r="V40" s="176">
        <f>S40*(1+'Pricing Policies'!$C$5/100)*'Pricing Policies'!$F$4*IF($C40="TRF",1,(1+Markups!$B$4/100))</f>
        <v>273.6932163</v>
      </c>
      <c r="W40" s="176">
        <f>S40*(1+'Pricing Policies'!$C$6/100)*'Pricing Policies'!$D$4*IF($C40="TRF",1,(1+Markups!$B$4/100))</f>
        <v>206.6953977</v>
      </c>
      <c r="X40" s="176">
        <f>S40*(1+'Pricing Policies'!$C$6/100)*'Pricing Policies'!$E$4*IF($C40="TRF",1,(1+Markups!$B$4/100))</f>
        <v>243.1710561</v>
      </c>
      <c r="Y40" s="176">
        <f>S40*(1+'Pricing Policies'!$C$6/100)*'Pricing Policies'!$F$4*IF($C40="TRF",1,(1+Markups!$B$4/100))</f>
        <v>291.8052673</v>
      </c>
      <c r="Z40" s="176">
        <f>S40*(1+'Pricing Policies'!$C$7/100)*'Pricing Policies'!$D$4*IF($C40="TRF",1,(1+Markups!$B$4/100))</f>
        <v>225.939452</v>
      </c>
      <c r="AA40" s="176">
        <f>S40*(1+'Pricing Policies'!$C$7/100)*'Pricing Policies'!$E$4*IF($C40="TRF",1,(1+Markups!$B$4/100))</f>
        <v>265.81112</v>
      </c>
      <c r="AB40" s="176">
        <f>S40*(1+'Pricing Policies'!$C$7/100)*'Pricing Policies'!$F$4*IF($C40="TRF",1,(1+Markups!$B$4/100))</f>
        <v>318.9733439</v>
      </c>
      <c r="AC40" s="73">
        <f t="shared" si="21"/>
        <v>2</v>
      </c>
      <c r="AD40" s="177">
        <f t="shared" si="3"/>
        <v>0</v>
      </c>
      <c r="AE40" s="178">
        <f>AD40*(1+'Pricing Policies'!$C$12/100)*'Pricing Policies'!$D$11</f>
        <v>0</v>
      </c>
      <c r="AF40" s="178">
        <f>AD40*(1+'Pricing Policies'!$C$12/100)*'Pricing Policies'!$E$11</f>
        <v>0</v>
      </c>
      <c r="AG40" s="178">
        <f>AD40*(1+'Pricing Policies'!$C$12/100)*'Pricing Policies'!$F$11</f>
        <v>0</v>
      </c>
      <c r="AH40" s="178">
        <f>AD40*(1+'Pricing Policies'!$C$13/100)*'Pricing Policies'!$D$11</f>
        <v>0</v>
      </c>
      <c r="AI40" s="178">
        <f>AD40*(1+'Pricing Policies'!$C$13/100)*'Pricing Policies'!$E$11</f>
        <v>0</v>
      </c>
      <c r="AJ40" s="178">
        <f>AD40*(1+'Pricing Policies'!$C$13/100)*'Pricing Policies'!$F$11</f>
        <v>0</v>
      </c>
      <c r="AK40" s="178">
        <f>AD40*(1+'Pricing Policies'!$C$14/100)*'Pricing Policies'!$D$11</f>
        <v>0</v>
      </c>
      <c r="AL40" s="178">
        <f>AD40*(1+'Pricing Policies'!$C$14/100)*'Pricing Policies'!$E$11</f>
        <v>0</v>
      </c>
      <c r="AM40" s="178">
        <f>AD40*(1+'Pricing Policies'!$C$14/100)*'Pricing Policies'!$F$11</f>
        <v>0</v>
      </c>
      <c r="AN40" s="178">
        <f t="shared" si="4"/>
        <v>228.0776802</v>
      </c>
      <c r="AO40" s="178">
        <f t="shared" si="5"/>
        <v>0</v>
      </c>
      <c r="AP40" s="178">
        <f t="shared" si="16"/>
        <v>228.0776802</v>
      </c>
      <c r="AQ40" s="179">
        <f t="shared" si="17"/>
        <v>230</v>
      </c>
      <c r="AR40" s="166">
        <f t="shared" si="6"/>
        <v>0.1</v>
      </c>
      <c r="AS40" s="176">
        <f t="shared" si="7"/>
        <v>23</v>
      </c>
      <c r="AT40" s="166">
        <f t="shared" si="8"/>
        <v>0.05</v>
      </c>
      <c r="AU40" s="176">
        <f t="shared" si="9"/>
        <v>12.65</v>
      </c>
      <c r="AV40" s="176">
        <f t="shared" si="18"/>
        <v>265.65</v>
      </c>
      <c r="AW40" s="180">
        <f t="shared" si="19"/>
        <v>270</v>
      </c>
      <c r="AX40" s="176">
        <f t="shared" si="10"/>
        <v>234.35</v>
      </c>
      <c r="AY40" s="181">
        <f t="shared" si="11"/>
        <v>58.5875</v>
      </c>
      <c r="AZ40" s="182">
        <f t="shared" si="12"/>
        <v>29.29375</v>
      </c>
      <c r="BA40" s="182">
        <f t="shared" si="20"/>
        <v>22</v>
      </c>
    </row>
    <row r="41" ht="15.75" customHeight="1">
      <c r="A41" s="145" t="str">
        <f t="shared" si="13"/>
        <v>Roma - TRF</v>
      </c>
      <c r="B41" s="145" t="s">
        <v>450</v>
      </c>
      <c r="C41" s="152" t="s">
        <v>79</v>
      </c>
      <c r="D41" s="146">
        <v>6.0</v>
      </c>
      <c r="E41" s="146">
        <v>500.0</v>
      </c>
      <c r="F41" s="111">
        <v>27.0</v>
      </c>
      <c r="G41" s="111"/>
      <c r="H41" s="111"/>
      <c r="I41" s="111"/>
      <c r="J41" s="111"/>
      <c r="K41" s="147"/>
      <c r="M41" s="173">
        <f>(E41)*'Base Operating Costs'!$B$13</f>
        <v>95</v>
      </c>
      <c r="N41" s="173">
        <f>(E41)*'Base Operating Costs'!$B$14</f>
        <v>70.35860656</v>
      </c>
      <c r="O41" s="173">
        <f>'Base Operating Costs'!$B$15*(E41)</f>
        <v>80.5009375</v>
      </c>
      <c r="P41" s="173">
        <f>D41*'Base Operating Costs'!$B$4</f>
        <v>132</v>
      </c>
      <c r="Q41" s="174">
        <f t="shared" si="2"/>
        <v>27</v>
      </c>
      <c r="R41" s="174">
        <f t="shared" si="14"/>
        <v>404.8595441</v>
      </c>
      <c r="S41" s="175">
        <f t="shared" si="15"/>
        <v>404.866805</v>
      </c>
      <c r="T41" s="176">
        <f>S41*(1+'Pricing Policies'!$C$5/100)*'Pricing Policies'!$D$4*IF($C41="TRF",1,(1+Markups!$B$4/100))</f>
        <v>468.0260265</v>
      </c>
      <c r="U41" s="176">
        <f>S41*(1+'Pricing Policies'!$C$5/100)*'Pricing Policies'!$E$4*IF($C41="TRF",1,(1+Markups!$B$4/100))</f>
        <v>550.6188548</v>
      </c>
      <c r="V41" s="176">
        <f>S41*(1+'Pricing Policies'!$C$5/100)*'Pricing Policies'!$F$4*IF($C41="TRF",1,(1+Markups!$B$4/100))</f>
        <v>660.7426257</v>
      </c>
      <c r="W41" s="176">
        <f>S41*(1+'Pricing Policies'!$C$6/100)*'Pricing Policies'!$D$4*IF($C41="TRF",1,(1+Markups!$B$4/100))</f>
        <v>498.9983371</v>
      </c>
      <c r="X41" s="176">
        <f>S41*(1+'Pricing Policies'!$C$6/100)*'Pricing Policies'!$E$4*IF($C41="TRF",1,(1+Markups!$B$4/100))</f>
        <v>587.0568672</v>
      </c>
      <c r="Y41" s="176">
        <f>S41*(1+'Pricing Policies'!$C$6/100)*'Pricing Policies'!$F$4*IF($C41="TRF",1,(1+Markups!$B$4/100))</f>
        <v>704.4682407</v>
      </c>
      <c r="Z41" s="176">
        <f>S41*(1+'Pricing Policies'!$C$7/100)*'Pricing Policies'!$D$4*IF($C41="TRF",1,(1+Markups!$B$4/100))</f>
        <v>545.456803</v>
      </c>
      <c r="AA41" s="176">
        <f>S41*(1+'Pricing Policies'!$C$7/100)*'Pricing Policies'!$E$4*IF($C41="TRF",1,(1+Markups!$B$4/100))</f>
        <v>641.7138859</v>
      </c>
      <c r="AB41" s="176">
        <f>S41*(1+'Pricing Policies'!$C$7/100)*'Pricing Policies'!$F$4*IF($C41="TRF",1,(1+Markups!$B$4/100))</f>
        <v>770.0566631</v>
      </c>
      <c r="AC41" s="73">
        <f t="shared" si="21"/>
        <v>2</v>
      </c>
      <c r="AD41" s="177">
        <f t="shared" si="3"/>
        <v>0</v>
      </c>
      <c r="AE41" s="178">
        <f>AD41*(1+'Pricing Policies'!$C$12/100)*'Pricing Policies'!$D$11</f>
        <v>0</v>
      </c>
      <c r="AF41" s="178">
        <f>AD41*(1+'Pricing Policies'!$C$12/100)*'Pricing Policies'!$E$11</f>
        <v>0</v>
      </c>
      <c r="AG41" s="178">
        <f>AD41*(1+'Pricing Policies'!$C$12/100)*'Pricing Policies'!$F$11</f>
        <v>0</v>
      </c>
      <c r="AH41" s="178">
        <f>AD41*(1+'Pricing Policies'!$C$13/100)*'Pricing Policies'!$D$11</f>
        <v>0</v>
      </c>
      <c r="AI41" s="178">
        <f>AD41*(1+'Pricing Policies'!$C$13/100)*'Pricing Policies'!$E$11</f>
        <v>0</v>
      </c>
      <c r="AJ41" s="178">
        <f>AD41*(1+'Pricing Policies'!$C$13/100)*'Pricing Policies'!$F$11</f>
        <v>0</v>
      </c>
      <c r="AK41" s="178">
        <f>AD41*(1+'Pricing Policies'!$C$14/100)*'Pricing Policies'!$D$11</f>
        <v>0</v>
      </c>
      <c r="AL41" s="178">
        <f>AD41*(1+'Pricing Policies'!$C$14/100)*'Pricing Policies'!$E$11</f>
        <v>0</v>
      </c>
      <c r="AM41" s="178">
        <f>AD41*(1+'Pricing Policies'!$C$14/100)*'Pricing Policies'!$F$11</f>
        <v>0</v>
      </c>
      <c r="AN41" s="178">
        <f t="shared" si="4"/>
        <v>550.6188548</v>
      </c>
      <c r="AO41" s="178">
        <f t="shared" si="5"/>
        <v>0</v>
      </c>
      <c r="AP41" s="178">
        <f t="shared" si="16"/>
        <v>550.6188548</v>
      </c>
      <c r="AQ41" s="179">
        <f t="shared" si="17"/>
        <v>555</v>
      </c>
      <c r="AR41" s="166">
        <f t="shared" si="6"/>
        <v>0.1</v>
      </c>
      <c r="AS41" s="176">
        <f t="shared" si="7"/>
        <v>55.5</v>
      </c>
      <c r="AT41" s="166">
        <f t="shared" si="8"/>
        <v>0.05</v>
      </c>
      <c r="AU41" s="176">
        <f t="shared" si="9"/>
        <v>30.525</v>
      </c>
      <c r="AV41" s="176">
        <f t="shared" si="18"/>
        <v>641.025</v>
      </c>
      <c r="AW41" s="180">
        <f t="shared" si="19"/>
        <v>645</v>
      </c>
      <c r="AX41" s="176">
        <f t="shared" si="10"/>
        <v>558.975</v>
      </c>
      <c r="AY41" s="181">
        <f t="shared" si="11"/>
        <v>139.74375</v>
      </c>
      <c r="AZ41" s="182">
        <f t="shared" si="12"/>
        <v>23.290625</v>
      </c>
      <c r="BA41" s="182">
        <f t="shared" si="20"/>
        <v>22</v>
      </c>
    </row>
    <row r="42" ht="15.75" customHeight="1">
      <c r="A42" s="145" t="str">
        <f t="shared" si="13"/>
        <v>San Gimignano - TRF</v>
      </c>
      <c r="B42" s="145" t="s">
        <v>451</v>
      </c>
      <c r="C42" s="152" t="s">
        <v>79</v>
      </c>
      <c r="D42" s="146">
        <v>2.0</v>
      </c>
      <c r="E42" s="146">
        <v>80.0</v>
      </c>
      <c r="F42" s="111">
        <v>0.0</v>
      </c>
      <c r="G42" s="111"/>
      <c r="H42" s="111"/>
      <c r="I42" s="111"/>
      <c r="J42" s="111"/>
      <c r="K42" s="147"/>
      <c r="M42" s="173">
        <f>(E42)*'Base Operating Costs'!$B$13</f>
        <v>15.2</v>
      </c>
      <c r="N42" s="173">
        <f>(E42)*'Base Operating Costs'!$B$14</f>
        <v>11.25737705</v>
      </c>
      <c r="O42" s="173">
        <f>'Base Operating Costs'!$B$15*(E42)</f>
        <v>12.88015</v>
      </c>
      <c r="P42" s="173">
        <f>D42*'Base Operating Costs'!$B$4</f>
        <v>44</v>
      </c>
      <c r="Q42" s="174">
        <f t="shared" si="2"/>
        <v>0</v>
      </c>
      <c r="R42" s="174">
        <f t="shared" si="14"/>
        <v>83.33752705</v>
      </c>
      <c r="S42" s="175">
        <f t="shared" si="15"/>
        <v>100.2397091</v>
      </c>
      <c r="T42" s="176">
        <f>S42*(1+'Pricing Policies'!$C$5/100)*'Pricing Policies'!$D$4*IF($C42="TRF",1,(1+Markups!$B$4/100))</f>
        <v>115.8771038</v>
      </c>
      <c r="U42" s="176">
        <f>S42*(1+'Pricing Policies'!$C$5/100)*'Pricing Policies'!$E$4*IF($C42="TRF",1,(1+Markups!$B$4/100))</f>
        <v>136.3260044</v>
      </c>
      <c r="V42" s="176">
        <f>S42*(1+'Pricing Policies'!$C$5/100)*'Pricing Policies'!$F$4*IF($C42="TRF",1,(1+Markups!$B$4/100))</f>
        <v>163.5912053</v>
      </c>
      <c r="W42" s="176">
        <f>S42*(1+'Pricing Policies'!$C$6/100)*'Pricing Policies'!$D$4*IF($C42="TRF",1,(1+Markups!$B$4/100))</f>
        <v>123.5454415</v>
      </c>
      <c r="X42" s="176">
        <f>S42*(1+'Pricing Policies'!$C$6/100)*'Pricing Policies'!$E$4*IF($C42="TRF",1,(1+Markups!$B$4/100))</f>
        <v>145.3475783</v>
      </c>
      <c r="Y42" s="176">
        <f>S42*(1+'Pricing Policies'!$C$6/100)*'Pricing Policies'!$F$4*IF($C42="TRF",1,(1+Markups!$B$4/100))</f>
        <v>174.4170939</v>
      </c>
      <c r="Z42" s="176">
        <f>S42*(1+'Pricing Policies'!$C$7/100)*'Pricing Policies'!$D$4*IF($C42="TRF",1,(1+Markups!$B$4/100))</f>
        <v>135.0479481</v>
      </c>
      <c r="AA42" s="176">
        <f>S42*(1+'Pricing Policies'!$C$7/100)*'Pricing Policies'!$E$4*IF($C42="TRF",1,(1+Markups!$B$4/100))</f>
        <v>158.879939</v>
      </c>
      <c r="AB42" s="176">
        <f>S42*(1+'Pricing Policies'!$C$7/100)*'Pricing Policies'!$F$4*IF($C42="TRF",1,(1+Markups!$B$4/100))</f>
        <v>190.6559268</v>
      </c>
      <c r="AC42" s="73">
        <f t="shared" si="21"/>
        <v>2</v>
      </c>
      <c r="AD42" s="177">
        <f t="shared" si="3"/>
        <v>0</v>
      </c>
      <c r="AE42" s="178">
        <f>AD42*(1+'Pricing Policies'!$C$12/100)*'Pricing Policies'!$D$11</f>
        <v>0</v>
      </c>
      <c r="AF42" s="178">
        <f>AD42*(1+'Pricing Policies'!$C$12/100)*'Pricing Policies'!$E$11</f>
        <v>0</v>
      </c>
      <c r="AG42" s="178">
        <f>AD42*(1+'Pricing Policies'!$C$12/100)*'Pricing Policies'!$F$11</f>
        <v>0</v>
      </c>
      <c r="AH42" s="178">
        <f>AD42*(1+'Pricing Policies'!$C$13/100)*'Pricing Policies'!$D$11</f>
        <v>0</v>
      </c>
      <c r="AI42" s="178">
        <f>AD42*(1+'Pricing Policies'!$C$13/100)*'Pricing Policies'!$E$11</f>
        <v>0</v>
      </c>
      <c r="AJ42" s="178">
        <f>AD42*(1+'Pricing Policies'!$C$13/100)*'Pricing Policies'!$F$11</f>
        <v>0</v>
      </c>
      <c r="AK42" s="178">
        <f>AD42*(1+'Pricing Policies'!$C$14/100)*'Pricing Policies'!$D$11</f>
        <v>0</v>
      </c>
      <c r="AL42" s="178">
        <f>AD42*(1+'Pricing Policies'!$C$14/100)*'Pricing Policies'!$E$11</f>
        <v>0</v>
      </c>
      <c r="AM42" s="178">
        <f>AD42*(1+'Pricing Policies'!$C$14/100)*'Pricing Policies'!$F$11</f>
        <v>0</v>
      </c>
      <c r="AN42" s="178">
        <f t="shared" si="4"/>
        <v>136.3260044</v>
      </c>
      <c r="AO42" s="178">
        <f t="shared" si="5"/>
        <v>0</v>
      </c>
      <c r="AP42" s="178">
        <f t="shared" si="16"/>
        <v>136.3260044</v>
      </c>
      <c r="AQ42" s="179">
        <f t="shared" si="17"/>
        <v>140</v>
      </c>
      <c r="AR42" s="166">
        <f t="shared" si="6"/>
        <v>0.1</v>
      </c>
      <c r="AS42" s="176">
        <f t="shared" si="7"/>
        <v>14</v>
      </c>
      <c r="AT42" s="166">
        <f t="shared" si="8"/>
        <v>0.05</v>
      </c>
      <c r="AU42" s="176">
        <f t="shared" si="9"/>
        <v>7.7</v>
      </c>
      <c r="AV42" s="176">
        <f t="shared" si="18"/>
        <v>161.7</v>
      </c>
      <c r="AW42" s="180">
        <f t="shared" si="19"/>
        <v>165</v>
      </c>
      <c r="AX42" s="176">
        <f t="shared" si="10"/>
        <v>143.3</v>
      </c>
      <c r="AY42" s="181">
        <f t="shared" si="11"/>
        <v>35.825</v>
      </c>
      <c r="AZ42" s="182">
        <f t="shared" si="12"/>
        <v>17.9125</v>
      </c>
      <c r="BA42" s="182">
        <f t="shared" si="20"/>
        <v>17.9125</v>
      </c>
    </row>
    <row r="43" ht="15.75" customHeight="1">
      <c r="A43" s="145" t="str">
        <f t="shared" si="13"/>
        <v>Sirmione - TRF</v>
      </c>
      <c r="B43" s="145" t="s">
        <v>452</v>
      </c>
      <c r="C43" s="152" t="s">
        <v>79</v>
      </c>
      <c r="D43" s="146">
        <v>8.0</v>
      </c>
      <c r="E43" s="146">
        <v>620.0</v>
      </c>
      <c r="F43" s="111">
        <v>40.0</v>
      </c>
      <c r="G43" s="111"/>
      <c r="H43" s="111"/>
      <c r="I43" s="111"/>
      <c r="J43" s="111"/>
      <c r="K43" s="147"/>
      <c r="M43" s="173">
        <f>(E43)*'Base Operating Costs'!$B$13</f>
        <v>117.8</v>
      </c>
      <c r="N43" s="173">
        <f>(E43)*'Base Operating Costs'!$B$14</f>
        <v>87.24467213</v>
      </c>
      <c r="O43" s="173">
        <f>'Base Operating Costs'!$B$15*(E43)</f>
        <v>99.8211625</v>
      </c>
      <c r="P43" s="173">
        <f>D43*'Base Operating Costs'!$B$4</f>
        <v>176</v>
      </c>
      <c r="Q43" s="174">
        <f t="shared" si="2"/>
        <v>40</v>
      </c>
      <c r="R43" s="174">
        <f t="shared" si="14"/>
        <v>520.8658346</v>
      </c>
      <c r="S43" s="175">
        <f t="shared" si="15"/>
        <v>468.7798353</v>
      </c>
      <c r="T43" s="176">
        <f>S43*(1+'Pricing Policies'!$C$5/100)*'Pricing Policies'!$D$4*IF($C43="TRF",1,(1+Markups!$B$4/100))</f>
        <v>541.9094896</v>
      </c>
      <c r="U43" s="176">
        <f>S43*(1+'Pricing Policies'!$C$5/100)*'Pricing Policies'!$E$4*IF($C43="TRF",1,(1+Markups!$B$4/100))</f>
        <v>637.5405761</v>
      </c>
      <c r="V43" s="176">
        <f>S43*(1+'Pricing Policies'!$C$5/100)*'Pricing Policies'!$F$4*IF($C43="TRF",1,(1+Markups!$B$4/100))</f>
        <v>765.0486913</v>
      </c>
      <c r="W43" s="176">
        <f>S43*(1+'Pricing Policies'!$C$6/100)*'Pricing Policies'!$D$4*IF($C43="TRF",1,(1+Markups!$B$4/100))</f>
        <v>577.7711471</v>
      </c>
      <c r="X43" s="176">
        <f>S43*(1+'Pricing Policies'!$C$6/100)*'Pricing Policies'!$E$4*IF($C43="TRF",1,(1+Markups!$B$4/100))</f>
        <v>679.7307612</v>
      </c>
      <c r="Y43" s="176">
        <f>S43*(1+'Pricing Policies'!$C$6/100)*'Pricing Policies'!$F$4*IF($C43="TRF",1,(1+Markups!$B$4/100))</f>
        <v>815.6769135</v>
      </c>
      <c r="Z43" s="176">
        <f>S43*(1+'Pricing Policies'!$C$7/100)*'Pricing Policies'!$D$4*IF($C43="TRF",1,(1+Markups!$B$4/100))</f>
        <v>631.5636332</v>
      </c>
      <c r="AA43" s="176">
        <f>S43*(1+'Pricing Policies'!$C$7/100)*'Pricing Policies'!$E$4*IF($C43="TRF",1,(1+Markups!$B$4/100))</f>
        <v>743.016039</v>
      </c>
      <c r="AB43" s="176">
        <f>S43*(1+'Pricing Policies'!$C$7/100)*'Pricing Policies'!$F$4*IF($C43="TRF",1,(1+Markups!$B$4/100))</f>
        <v>891.6192468</v>
      </c>
      <c r="AC43" s="73">
        <f t="shared" si="21"/>
        <v>2</v>
      </c>
      <c r="AD43" s="177">
        <f t="shared" si="3"/>
        <v>0</v>
      </c>
      <c r="AE43" s="178">
        <f>AD43*(1+'Pricing Policies'!$C$12/100)*'Pricing Policies'!$D$11</f>
        <v>0</v>
      </c>
      <c r="AF43" s="178">
        <f>AD43*(1+'Pricing Policies'!$C$12/100)*'Pricing Policies'!$E$11</f>
        <v>0</v>
      </c>
      <c r="AG43" s="178">
        <f>AD43*(1+'Pricing Policies'!$C$12/100)*'Pricing Policies'!$F$11</f>
        <v>0</v>
      </c>
      <c r="AH43" s="178">
        <f>AD43*(1+'Pricing Policies'!$C$13/100)*'Pricing Policies'!$D$11</f>
        <v>0</v>
      </c>
      <c r="AI43" s="178">
        <f>AD43*(1+'Pricing Policies'!$C$13/100)*'Pricing Policies'!$E$11</f>
        <v>0</v>
      </c>
      <c r="AJ43" s="178">
        <f>AD43*(1+'Pricing Policies'!$C$13/100)*'Pricing Policies'!$F$11</f>
        <v>0</v>
      </c>
      <c r="AK43" s="178">
        <f>AD43*(1+'Pricing Policies'!$C$14/100)*'Pricing Policies'!$D$11</f>
        <v>0</v>
      </c>
      <c r="AL43" s="178">
        <f>AD43*(1+'Pricing Policies'!$C$14/100)*'Pricing Policies'!$E$11</f>
        <v>0</v>
      </c>
      <c r="AM43" s="178">
        <f>AD43*(1+'Pricing Policies'!$C$14/100)*'Pricing Policies'!$F$11</f>
        <v>0</v>
      </c>
      <c r="AN43" s="178">
        <f t="shared" si="4"/>
        <v>637.5405761</v>
      </c>
      <c r="AO43" s="178">
        <f t="shared" si="5"/>
        <v>0</v>
      </c>
      <c r="AP43" s="178">
        <f t="shared" si="16"/>
        <v>637.5405761</v>
      </c>
      <c r="AQ43" s="179">
        <f t="shared" si="17"/>
        <v>640</v>
      </c>
      <c r="AR43" s="166">
        <f t="shared" si="6"/>
        <v>0.1</v>
      </c>
      <c r="AS43" s="176">
        <f t="shared" si="7"/>
        <v>64</v>
      </c>
      <c r="AT43" s="166">
        <f t="shared" si="8"/>
        <v>0.05</v>
      </c>
      <c r="AU43" s="176">
        <f t="shared" si="9"/>
        <v>35.2</v>
      </c>
      <c r="AV43" s="176">
        <f t="shared" si="18"/>
        <v>739.2</v>
      </c>
      <c r="AW43" s="180">
        <f t="shared" si="19"/>
        <v>740</v>
      </c>
      <c r="AX43" s="176">
        <f t="shared" si="10"/>
        <v>640.8</v>
      </c>
      <c r="AY43" s="181">
        <f t="shared" si="11"/>
        <v>160.2</v>
      </c>
      <c r="AZ43" s="182">
        <f t="shared" si="12"/>
        <v>20.025</v>
      </c>
      <c r="BA43" s="182">
        <f t="shared" si="20"/>
        <v>20.025</v>
      </c>
    </row>
    <row r="44" ht="15.75" customHeight="1">
      <c r="A44" s="145" t="str">
        <f t="shared" si="13"/>
        <v>Sorrento - TRF</v>
      </c>
      <c r="B44" s="145" t="s">
        <v>453</v>
      </c>
      <c r="C44" s="152" t="s">
        <v>79</v>
      </c>
      <c r="D44" s="146">
        <v>10.0</v>
      </c>
      <c r="E44" s="146">
        <v>940.0</v>
      </c>
      <c r="F44" s="111">
        <v>65.0</v>
      </c>
      <c r="G44" s="111"/>
      <c r="H44" s="111"/>
      <c r="I44" s="111"/>
      <c r="J44" s="111"/>
      <c r="K44" s="147"/>
      <c r="M44" s="173">
        <f>(E44)*'Base Operating Costs'!$B$13</f>
        <v>178.6</v>
      </c>
      <c r="N44" s="173">
        <f>(E44)*'Base Operating Costs'!$B$14</f>
        <v>132.2741803</v>
      </c>
      <c r="O44" s="173">
        <f>'Base Operating Costs'!$B$15*(E44)</f>
        <v>151.3417625</v>
      </c>
      <c r="P44" s="173">
        <f>D44*'Base Operating Costs'!$B$4</f>
        <v>220</v>
      </c>
      <c r="Q44" s="174">
        <f t="shared" si="2"/>
        <v>65</v>
      </c>
      <c r="R44" s="174">
        <f t="shared" si="14"/>
        <v>747.2159428</v>
      </c>
      <c r="S44" s="175">
        <f t="shared" si="15"/>
        <v>672.4943492</v>
      </c>
      <c r="T44" s="176">
        <f>S44*(1+'Pricing Policies'!$C$5/100)*'Pricing Policies'!$D$4*IF($C44="TRF",1,(1+Markups!$B$4/100))</f>
        <v>777.4034677</v>
      </c>
      <c r="U44" s="176">
        <f>S44*(1+'Pricing Policies'!$C$5/100)*'Pricing Policies'!$E$4*IF($C44="TRF",1,(1+Markups!$B$4/100))</f>
        <v>914.592315</v>
      </c>
      <c r="V44" s="176">
        <f>S44*(1+'Pricing Policies'!$C$5/100)*'Pricing Policies'!$F$4*IF($C44="TRF",1,(1+Markups!$B$4/100))</f>
        <v>1097.510778</v>
      </c>
      <c r="W44" s="176">
        <f>S44*(1+'Pricing Policies'!$C$6/100)*'Pricing Policies'!$D$4*IF($C44="TRF",1,(1+Markups!$B$4/100))</f>
        <v>828.8492854</v>
      </c>
      <c r="X44" s="176">
        <f>S44*(1+'Pricing Policies'!$C$6/100)*'Pricing Policies'!$E$4*IF($C44="TRF",1,(1+Markups!$B$4/100))</f>
        <v>975.1168064</v>
      </c>
      <c r="Y44" s="176">
        <f>S44*(1+'Pricing Policies'!$C$6/100)*'Pricing Policies'!$F$4*IF($C44="TRF",1,(1+Markups!$B$4/100))</f>
        <v>1170.140168</v>
      </c>
      <c r="Z44" s="176">
        <f>S44*(1+'Pricing Policies'!$C$7/100)*'Pricing Policies'!$D$4*IF($C44="TRF",1,(1+Markups!$B$4/100))</f>
        <v>906.018012</v>
      </c>
      <c r="AA44" s="176">
        <f>S44*(1+'Pricing Policies'!$C$7/100)*'Pricing Policies'!$E$4*IF($C44="TRF",1,(1+Markups!$B$4/100))</f>
        <v>1065.903544</v>
      </c>
      <c r="AB44" s="176">
        <f>S44*(1+'Pricing Policies'!$C$7/100)*'Pricing Policies'!$F$4*IF($C44="TRF",1,(1+Markups!$B$4/100))</f>
        <v>1279.084252</v>
      </c>
      <c r="AC44" s="73">
        <f t="shared" si="21"/>
        <v>2</v>
      </c>
      <c r="AD44" s="177">
        <f t="shared" si="3"/>
        <v>0</v>
      </c>
      <c r="AE44" s="178">
        <f>AD44*(1+'Pricing Policies'!$C$12/100)*'Pricing Policies'!$D$11</f>
        <v>0</v>
      </c>
      <c r="AF44" s="178">
        <f>AD44*(1+'Pricing Policies'!$C$12/100)*'Pricing Policies'!$E$11</f>
        <v>0</v>
      </c>
      <c r="AG44" s="178">
        <f>AD44*(1+'Pricing Policies'!$C$12/100)*'Pricing Policies'!$F$11</f>
        <v>0</v>
      </c>
      <c r="AH44" s="178">
        <f>AD44*(1+'Pricing Policies'!$C$13/100)*'Pricing Policies'!$D$11</f>
        <v>0</v>
      </c>
      <c r="AI44" s="178">
        <f>AD44*(1+'Pricing Policies'!$C$13/100)*'Pricing Policies'!$E$11</f>
        <v>0</v>
      </c>
      <c r="AJ44" s="178">
        <f>AD44*(1+'Pricing Policies'!$C$13/100)*'Pricing Policies'!$F$11</f>
        <v>0</v>
      </c>
      <c r="AK44" s="178">
        <f>AD44*(1+'Pricing Policies'!$C$14/100)*'Pricing Policies'!$D$11</f>
        <v>0</v>
      </c>
      <c r="AL44" s="178">
        <f>AD44*(1+'Pricing Policies'!$C$14/100)*'Pricing Policies'!$E$11</f>
        <v>0</v>
      </c>
      <c r="AM44" s="178">
        <f>AD44*(1+'Pricing Policies'!$C$14/100)*'Pricing Policies'!$F$11</f>
        <v>0</v>
      </c>
      <c r="AN44" s="178">
        <f t="shared" si="4"/>
        <v>914.592315</v>
      </c>
      <c r="AO44" s="178">
        <f t="shared" si="5"/>
        <v>0</v>
      </c>
      <c r="AP44" s="178">
        <f t="shared" si="16"/>
        <v>914.592315</v>
      </c>
      <c r="AQ44" s="179">
        <f t="shared" si="17"/>
        <v>915</v>
      </c>
      <c r="AR44" s="166">
        <f t="shared" si="6"/>
        <v>0.1</v>
      </c>
      <c r="AS44" s="176">
        <f t="shared" si="7"/>
        <v>91.5</v>
      </c>
      <c r="AT44" s="166">
        <f t="shared" si="8"/>
        <v>0.05</v>
      </c>
      <c r="AU44" s="176">
        <f t="shared" si="9"/>
        <v>50.325</v>
      </c>
      <c r="AV44" s="176">
        <f t="shared" si="18"/>
        <v>1056.825</v>
      </c>
      <c r="AW44" s="180">
        <f t="shared" si="19"/>
        <v>1060</v>
      </c>
      <c r="AX44" s="176">
        <f t="shared" si="10"/>
        <v>918.175</v>
      </c>
      <c r="AY44" s="181">
        <f t="shared" si="11"/>
        <v>229.54375</v>
      </c>
      <c r="AZ44" s="182">
        <f t="shared" si="12"/>
        <v>22.954375</v>
      </c>
      <c r="BA44" s="182">
        <f t="shared" si="20"/>
        <v>22</v>
      </c>
    </row>
    <row r="45" ht="15.75" customHeight="1">
      <c r="A45" s="148" t="str">
        <f t="shared" si="13"/>
        <v>Venezia - TRF</v>
      </c>
      <c r="B45" s="148" t="s">
        <v>454</v>
      </c>
      <c r="C45" s="154" t="s">
        <v>79</v>
      </c>
      <c r="D45" s="149">
        <v>8.0</v>
      </c>
      <c r="E45" s="149">
        <v>640.0</v>
      </c>
      <c r="F45" s="150">
        <v>45.0</v>
      </c>
      <c r="G45" s="150"/>
      <c r="H45" s="150"/>
      <c r="I45" s="150"/>
      <c r="J45" s="150"/>
      <c r="K45" s="151"/>
      <c r="M45" s="173">
        <f>(E45)*'Base Operating Costs'!$B$13</f>
        <v>121.6</v>
      </c>
      <c r="N45" s="173">
        <f>(E45)*'Base Operating Costs'!$B$14</f>
        <v>90.05901639</v>
      </c>
      <c r="O45" s="173">
        <f>'Base Operating Costs'!$B$15*(E45)</f>
        <v>103.0412</v>
      </c>
      <c r="P45" s="173">
        <f>D45*'Base Operating Costs'!$B$4</f>
        <v>176</v>
      </c>
      <c r="Q45" s="174">
        <f t="shared" si="2"/>
        <v>45</v>
      </c>
      <c r="R45" s="174">
        <f t="shared" si="14"/>
        <v>535.7002164</v>
      </c>
      <c r="S45" s="175">
        <f t="shared" si="15"/>
        <v>482.13058</v>
      </c>
      <c r="T45" s="176">
        <f>S45*(1+'Pricing Policies'!$C$5/100)*'Pricing Policies'!$D$4*IF($C45="TRF",1,(1+Markups!$B$4/100))</f>
        <v>557.3429505</v>
      </c>
      <c r="U45" s="176">
        <f>S45*(1+'Pricing Policies'!$C$5/100)*'Pricing Policies'!$E$4*IF($C45="TRF",1,(1+Markups!$B$4/100))</f>
        <v>655.6975888</v>
      </c>
      <c r="V45" s="176">
        <f>S45*(1+'Pricing Policies'!$C$5/100)*'Pricing Policies'!$F$4*IF($C45="TRF",1,(1+Markups!$B$4/100))</f>
        <v>786.8371065</v>
      </c>
      <c r="W45" s="176">
        <f>S45*(1+'Pricing Policies'!$C$6/100)*'Pricing Policies'!$D$4*IF($C45="TRF",1,(1+Markups!$B$4/100))</f>
        <v>594.2259398</v>
      </c>
      <c r="X45" s="176">
        <f>S45*(1+'Pricing Policies'!$C$6/100)*'Pricing Policies'!$E$4*IF($C45="TRF",1,(1+Markups!$B$4/100))</f>
        <v>699.089341</v>
      </c>
      <c r="Y45" s="176">
        <f>S45*(1+'Pricing Policies'!$C$6/100)*'Pricing Policies'!$F$4*IF($C45="TRF",1,(1+Markups!$B$4/100))</f>
        <v>838.9072092</v>
      </c>
      <c r="Z45" s="176">
        <f>S45*(1+'Pricing Policies'!$C$7/100)*'Pricing Policies'!$D$4*IF($C45="TRF",1,(1+Markups!$B$4/100))</f>
        <v>649.5504239</v>
      </c>
      <c r="AA45" s="176">
        <f>S45*(1+'Pricing Policies'!$C$7/100)*'Pricing Policies'!$E$4*IF($C45="TRF",1,(1+Markups!$B$4/100))</f>
        <v>764.1769693</v>
      </c>
      <c r="AB45" s="176">
        <f>S45*(1+'Pricing Policies'!$C$7/100)*'Pricing Policies'!$F$4*IF($C45="TRF",1,(1+Markups!$B$4/100))</f>
        <v>917.0123631</v>
      </c>
      <c r="AC45" s="73">
        <f t="shared" si="21"/>
        <v>2</v>
      </c>
      <c r="AD45" s="177">
        <f t="shared" si="3"/>
        <v>0</v>
      </c>
      <c r="AE45" s="178">
        <f>AD45*(1+'Pricing Policies'!$C$12/100)*'Pricing Policies'!$D$11</f>
        <v>0</v>
      </c>
      <c r="AF45" s="178">
        <f>AD45*(1+'Pricing Policies'!$C$12/100)*'Pricing Policies'!$E$11</f>
        <v>0</v>
      </c>
      <c r="AG45" s="178">
        <f>AD45*(1+'Pricing Policies'!$C$12/100)*'Pricing Policies'!$F$11</f>
        <v>0</v>
      </c>
      <c r="AH45" s="178">
        <f>AD45*(1+'Pricing Policies'!$C$13/100)*'Pricing Policies'!$D$11</f>
        <v>0</v>
      </c>
      <c r="AI45" s="178">
        <f>AD45*(1+'Pricing Policies'!$C$13/100)*'Pricing Policies'!$E$11</f>
        <v>0</v>
      </c>
      <c r="AJ45" s="178">
        <f>AD45*(1+'Pricing Policies'!$C$13/100)*'Pricing Policies'!$F$11</f>
        <v>0</v>
      </c>
      <c r="AK45" s="178">
        <f>AD45*(1+'Pricing Policies'!$C$14/100)*'Pricing Policies'!$D$11</f>
        <v>0</v>
      </c>
      <c r="AL45" s="178">
        <f>AD45*(1+'Pricing Policies'!$C$14/100)*'Pricing Policies'!$E$11</f>
        <v>0</v>
      </c>
      <c r="AM45" s="178">
        <f>AD45*(1+'Pricing Policies'!$C$14/100)*'Pricing Policies'!$F$11</f>
        <v>0</v>
      </c>
      <c r="AN45" s="178">
        <f t="shared" si="4"/>
        <v>655.6975888</v>
      </c>
      <c r="AO45" s="178">
        <f t="shared" si="5"/>
        <v>0</v>
      </c>
      <c r="AP45" s="178">
        <f t="shared" si="16"/>
        <v>655.6975888</v>
      </c>
      <c r="AQ45" s="179">
        <f t="shared" si="17"/>
        <v>660</v>
      </c>
      <c r="AR45" s="166">
        <f t="shared" si="6"/>
        <v>0.1</v>
      </c>
      <c r="AS45" s="176">
        <f t="shared" si="7"/>
        <v>66</v>
      </c>
      <c r="AT45" s="166">
        <f t="shared" si="8"/>
        <v>0.05</v>
      </c>
      <c r="AU45" s="176">
        <f t="shared" si="9"/>
        <v>36.3</v>
      </c>
      <c r="AV45" s="176">
        <f t="shared" si="18"/>
        <v>762.3</v>
      </c>
      <c r="AW45" s="180">
        <f t="shared" si="19"/>
        <v>765</v>
      </c>
      <c r="AX45" s="176">
        <f t="shared" si="10"/>
        <v>662.7</v>
      </c>
      <c r="AY45" s="181">
        <f t="shared" si="11"/>
        <v>165.675</v>
      </c>
      <c r="AZ45" s="182">
        <f t="shared" si="12"/>
        <v>20.709375</v>
      </c>
      <c r="BA45" s="182">
        <f t="shared" si="20"/>
        <v>20.709375</v>
      </c>
    </row>
    <row r="46" ht="15.75" customHeight="1">
      <c r="A46" s="155"/>
      <c r="B46" s="155"/>
      <c r="C46" s="145"/>
      <c r="D46" s="146"/>
      <c r="E46" s="146"/>
      <c r="F46" s="91"/>
      <c r="G46" s="91"/>
      <c r="H46" s="91"/>
      <c r="I46" s="91"/>
      <c r="J46" s="91"/>
      <c r="K46" s="91"/>
      <c r="M46" s="173">
        <f>(E46)*'Base Operating Costs'!$B$13</f>
        <v>0</v>
      </c>
      <c r="N46" s="173">
        <f>(E46)*'Base Operating Costs'!$B$14</f>
        <v>0</v>
      </c>
      <c r="O46" s="173">
        <f>'Base Operating Costs'!$B$15*(E46)</f>
        <v>0</v>
      </c>
      <c r="P46" s="173">
        <f>D46*'Base Operating Costs'!$B$4</f>
        <v>0</v>
      </c>
      <c r="Q46" s="174" t="str">
        <f t="shared" si="2"/>
        <v/>
      </c>
      <c r="R46" s="174"/>
      <c r="S46" s="175">
        <f t="shared" ref="S46:S54" si="23">M46+N46+O46+P46+Q46</f>
        <v>0</v>
      </c>
      <c r="T46" s="176">
        <f>S46*(1+'Pricing Policies'!$C$5/100)*'Pricing Policies'!$D$4*IF($C46="TRF",1,(1+Markups!$B$4/100))</f>
        <v>0</v>
      </c>
      <c r="U46" s="176">
        <f>S46*(1+'Pricing Policies'!$C$5/100)*'Pricing Policies'!$E$4*IF($C46="TRF",1,(1+Markups!$B$4/100))</f>
        <v>0</v>
      </c>
      <c r="V46" s="176">
        <f>S46*(1+'Pricing Policies'!$C$5/100)*'Pricing Policies'!$F$4*IF($C46="TRF",1,(1+Markups!$B$4/100))</f>
        <v>0</v>
      </c>
      <c r="W46" s="176">
        <f>S46*(1+'Pricing Policies'!$C$6/100)*'Pricing Policies'!$D$4*IF($C46="TRF",1,(1+Markups!$B$4/100))</f>
        <v>0</v>
      </c>
      <c r="X46" s="176">
        <f>S46*(1+'Pricing Policies'!$C$6/100)*'Pricing Policies'!$E$4*IF($C46="TRF",1,(1+Markups!$B$4/100))</f>
        <v>0</v>
      </c>
      <c r="Y46" s="176">
        <f>S46*(1+'Pricing Policies'!$C$6/100)*'Pricing Policies'!$F$4*IF($C46="TRF",1,(1+Markups!$B$4/100))</f>
        <v>0</v>
      </c>
      <c r="Z46" s="176">
        <f>S46*(1+'Pricing Policies'!$C$7/100)*'Pricing Policies'!$D$4*IF($C46="TRF",1,(1+Markups!$B$4/100))</f>
        <v>0</v>
      </c>
      <c r="AA46" s="176">
        <f>S46*(1+'Pricing Policies'!$C$7/100)*'Pricing Policies'!$E$4*IF($C46="TRF",1,(1+Markups!$B$4/100))</f>
        <v>0</v>
      </c>
      <c r="AB46" s="176">
        <f>S46*(1+'Pricing Policies'!$C$7/100)*'Pricing Policies'!$F$4*IF($C46="TRF",1,(1+Markups!$B$4/100))</f>
        <v>0</v>
      </c>
      <c r="AC46" s="73">
        <f t="shared" si="21"/>
        <v>2</v>
      </c>
      <c r="AD46" s="177">
        <f t="shared" si="3"/>
        <v>0</v>
      </c>
      <c r="AE46" s="178">
        <f>AD46*(1+'Pricing Policies'!$C$12/100)*'Pricing Policies'!$D$11</f>
        <v>0</v>
      </c>
      <c r="AF46" s="178">
        <f>AD46*(1+'Pricing Policies'!$C$12/100)*'Pricing Policies'!$E$11</f>
        <v>0</v>
      </c>
      <c r="AG46" s="178">
        <f>AD46*(1+'Pricing Policies'!$C$12/100)*'Pricing Policies'!$F$11</f>
        <v>0</v>
      </c>
      <c r="AH46" s="178">
        <f>AD46*(1+'Pricing Policies'!$C$13/100)*'Pricing Policies'!$D$11</f>
        <v>0</v>
      </c>
      <c r="AI46" s="178">
        <f>AD46*(1+'Pricing Policies'!$C$13/100)*'Pricing Policies'!$E$11</f>
        <v>0</v>
      </c>
      <c r="AJ46" s="178">
        <f>AD46*(1+'Pricing Policies'!$C$13/100)*'Pricing Policies'!$F$11</f>
        <v>0</v>
      </c>
      <c r="AK46" s="178">
        <f>AD46*(1+'Pricing Policies'!$C$14/100)*'Pricing Policies'!$D$11</f>
        <v>0</v>
      </c>
      <c r="AL46" s="178">
        <f>AD46*(1+'Pricing Policies'!$C$14/100)*'Pricing Policies'!$E$11</f>
        <v>0</v>
      </c>
      <c r="AM46" s="178">
        <f>AD46*(1+'Pricing Policies'!$C$14/100)*'Pricing Policies'!$F$11</f>
        <v>0</v>
      </c>
      <c r="AN46" s="178">
        <f t="shared" si="4"/>
        <v>0</v>
      </c>
      <c r="AO46" s="178">
        <f t="shared" si="5"/>
        <v>0</v>
      </c>
      <c r="AP46" s="178"/>
      <c r="AQ46" s="179">
        <f t="shared" ref="AQ46:AQ54" si="24">AN46+AO46</f>
        <v>0</v>
      </c>
      <c r="AR46" s="166">
        <f t="shared" si="6"/>
        <v>0.1</v>
      </c>
      <c r="AS46" s="176">
        <f t="shared" si="7"/>
        <v>0</v>
      </c>
      <c r="AT46" s="166">
        <f t="shared" si="8"/>
        <v>0.05</v>
      </c>
      <c r="AU46" s="176">
        <f t="shared" si="9"/>
        <v>0</v>
      </c>
      <c r="AV46" s="176"/>
      <c r="AW46" s="180">
        <f t="shared" ref="AW46:AW54" si="25">AQ46+AS46+AU46</f>
        <v>0</v>
      </c>
      <c r="AX46" s="176">
        <f t="shared" si="10"/>
        <v>0</v>
      </c>
      <c r="AY46" s="181">
        <f t="shared" si="11"/>
        <v>0</v>
      </c>
      <c r="AZ46" s="182" t="str">
        <f t="shared" si="12"/>
        <v>#DIV/0!</v>
      </c>
    </row>
    <row r="47" ht="15.75" customHeight="1">
      <c r="A47" s="155"/>
      <c r="B47" s="155"/>
      <c r="C47" s="145"/>
      <c r="D47" s="146"/>
      <c r="E47" s="146"/>
      <c r="F47" s="91"/>
      <c r="G47" s="91"/>
      <c r="H47" s="91"/>
      <c r="I47" s="91"/>
      <c r="J47" s="91"/>
      <c r="K47" s="91"/>
      <c r="M47" s="173">
        <f>(E47)*'Base Operating Costs'!$B$13</f>
        <v>0</v>
      </c>
      <c r="N47" s="173">
        <f>(E47)*'Base Operating Costs'!$B$14</f>
        <v>0</v>
      </c>
      <c r="O47" s="173">
        <f>'Base Operating Costs'!$B$15*(E47)</f>
        <v>0</v>
      </c>
      <c r="P47" s="173">
        <f>D47*'Base Operating Costs'!$B$4</f>
        <v>0</v>
      </c>
      <c r="Q47" s="174" t="str">
        <f t="shared" si="2"/>
        <v/>
      </c>
      <c r="R47" s="174"/>
      <c r="S47" s="175">
        <f t="shared" si="23"/>
        <v>0</v>
      </c>
      <c r="T47" s="176">
        <f>S47*(1+'Pricing Policies'!$C$5/100)*'Pricing Policies'!$D$4*IF($C47="TRF",1,(1+Markups!$B$4/100))</f>
        <v>0</v>
      </c>
      <c r="U47" s="176">
        <f>S47*(1+'Pricing Policies'!$C$5/100)*'Pricing Policies'!$E$4*IF($C47="TRF",1,(1+Markups!$B$4/100))</f>
        <v>0</v>
      </c>
      <c r="V47" s="176">
        <f>S47*(1+'Pricing Policies'!$C$5/100)*'Pricing Policies'!$F$4*IF($C47="TRF",1,(1+Markups!$B$4/100))</f>
        <v>0</v>
      </c>
      <c r="W47" s="176">
        <f>S47*(1+'Pricing Policies'!$C$6/100)*'Pricing Policies'!$D$4*IF($C47="TRF",1,(1+Markups!$B$4/100))</f>
        <v>0</v>
      </c>
      <c r="X47" s="176">
        <f>S47*(1+'Pricing Policies'!$C$6/100)*'Pricing Policies'!$E$4*IF($C47="TRF",1,(1+Markups!$B$4/100))</f>
        <v>0</v>
      </c>
      <c r="Y47" s="176">
        <f>S47*(1+'Pricing Policies'!$C$6/100)*'Pricing Policies'!$F$4*IF($C47="TRF",1,(1+Markups!$B$4/100))</f>
        <v>0</v>
      </c>
      <c r="Z47" s="176">
        <f>S47*(1+'Pricing Policies'!$C$7/100)*'Pricing Policies'!$D$4*IF($C47="TRF",1,(1+Markups!$B$4/100))</f>
        <v>0</v>
      </c>
      <c r="AA47" s="176">
        <f>S47*(1+'Pricing Policies'!$C$7/100)*'Pricing Policies'!$E$4*IF($C47="TRF",1,(1+Markups!$B$4/100))</f>
        <v>0</v>
      </c>
      <c r="AB47" s="176">
        <f>S47*(1+'Pricing Policies'!$C$7/100)*'Pricing Policies'!$F$4*IF($C47="TRF",1,(1+Markups!$B$4/100))</f>
        <v>0</v>
      </c>
      <c r="AC47" s="73">
        <f t="shared" si="21"/>
        <v>2</v>
      </c>
      <c r="AD47" s="177">
        <f t="shared" si="3"/>
        <v>0</v>
      </c>
      <c r="AE47" s="178">
        <f>AD47*(1+'Pricing Policies'!$C$12/100)*'Pricing Policies'!$D$11</f>
        <v>0</v>
      </c>
      <c r="AF47" s="178">
        <f>AD47*(1+'Pricing Policies'!$C$12/100)*'Pricing Policies'!$E$11</f>
        <v>0</v>
      </c>
      <c r="AG47" s="178">
        <f>AD47*(1+'Pricing Policies'!$C$12/100)*'Pricing Policies'!$F$11</f>
        <v>0</v>
      </c>
      <c r="AH47" s="178">
        <f>AD47*(1+'Pricing Policies'!$C$13/100)*'Pricing Policies'!$D$11</f>
        <v>0</v>
      </c>
      <c r="AI47" s="178">
        <f>AD47*(1+'Pricing Policies'!$C$13/100)*'Pricing Policies'!$E$11</f>
        <v>0</v>
      </c>
      <c r="AJ47" s="178">
        <f>AD47*(1+'Pricing Policies'!$C$13/100)*'Pricing Policies'!$F$11</f>
        <v>0</v>
      </c>
      <c r="AK47" s="178">
        <f>AD47*(1+'Pricing Policies'!$C$14/100)*'Pricing Policies'!$D$11</f>
        <v>0</v>
      </c>
      <c r="AL47" s="178">
        <f>AD47*(1+'Pricing Policies'!$C$14/100)*'Pricing Policies'!$E$11</f>
        <v>0</v>
      </c>
      <c r="AM47" s="178">
        <f>AD47*(1+'Pricing Policies'!$C$14/100)*'Pricing Policies'!$F$11</f>
        <v>0</v>
      </c>
      <c r="AN47" s="178">
        <f t="shared" si="4"/>
        <v>0</v>
      </c>
      <c r="AO47" s="178">
        <f t="shared" si="5"/>
        <v>0</v>
      </c>
      <c r="AP47" s="178"/>
      <c r="AQ47" s="179">
        <f t="shared" si="24"/>
        <v>0</v>
      </c>
      <c r="AR47" s="166">
        <f t="shared" si="6"/>
        <v>0.1</v>
      </c>
      <c r="AS47" s="176">
        <f t="shared" si="7"/>
        <v>0</v>
      </c>
      <c r="AT47" s="166">
        <f t="shared" si="8"/>
        <v>0.05</v>
      </c>
      <c r="AU47" s="176">
        <f t="shared" si="9"/>
        <v>0</v>
      </c>
      <c r="AV47" s="176"/>
      <c r="AW47" s="180">
        <f t="shared" si="25"/>
        <v>0</v>
      </c>
      <c r="AX47" s="176">
        <f t="shared" si="10"/>
        <v>0</v>
      </c>
      <c r="AY47" s="181">
        <f t="shared" si="11"/>
        <v>0</v>
      </c>
      <c r="AZ47" s="182" t="str">
        <f t="shared" si="12"/>
        <v>#DIV/0!</v>
      </c>
    </row>
    <row r="48" ht="15.75" customHeight="1">
      <c r="A48" s="155"/>
      <c r="B48" s="155"/>
      <c r="C48" s="145"/>
      <c r="D48" s="146"/>
      <c r="E48" s="146"/>
      <c r="F48" s="91"/>
      <c r="G48" s="91"/>
      <c r="H48" s="91"/>
      <c r="I48" s="91"/>
      <c r="J48" s="91"/>
      <c r="K48" s="91"/>
      <c r="M48" s="173">
        <f>(E48)*'Base Operating Costs'!$B$13</f>
        <v>0</v>
      </c>
      <c r="N48" s="173">
        <f>(E48)*'Base Operating Costs'!$B$14</f>
        <v>0</v>
      </c>
      <c r="O48" s="173">
        <f>'Base Operating Costs'!$B$15*(E48)</f>
        <v>0</v>
      </c>
      <c r="P48" s="173">
        <f>D48*'Base Operating Costs'!$B$4</f>
        <v>0</v>
      </c>
      <c r="Q48" s="174" t="str">
        <f t="shared" si="2"/>
        <v/>
      </c>
      <c r="R48" s="174"/>
      <c r="S48" s="175">
        <f t="shared" si="23"/>
        <v>0</v>
      </c>
      <c r="T48" s="176">
        <f>S48*(1+'Pricing Policies'!$C$5/100)*'Pricing Policies'!$D$4*IF($C48="TRF",1,(1+Markups!$B$4/100))</f>
        <v>0</v>
      </c>
      <c r="U48" s="176">
        <f>S48*(1+'Pricing Policies'!$C$5/100)*'Pricing Policies'!$E$4*IF($C48="TRF",1,(1+Markups!$B$4/100))</f>
        <v>0</v>
      </c>
      <c r="V48" s="176">
        <f>S48*(1+'Pricing Policies'!$C$5/100)*'Pricing Policies'!$F$4*IF($C48="TRF",1,(1+Markups!$B$4/100))</f>
        <v>0</v>
      </c>
      <c r="W48" s="176">
        <f>S48*(1+'Pricing Policies'!$C$6/100)*'Pricing Policies'!$D$4*IF($C48="TRF",1,(1+Markups!$B$4/100))</f>
        <v>0</v>
      </c>
      <c r="X48" s="176">
        <f>S48*(1+'Pricing Policies'!$C$6/100)*'Pricing Policies'!$E$4*IF($C48="TRF",1,(1+Markups!$B$4/100))</f>
        <v>0</v>
      </c>
      <c r="Y48" s="176">
        <f>S48*(1+'Pricing Policies'!$C$6/100)*'Pricing Policies'!$F$4*IF($C48="TRF",1,(1+Markups!$B$4/100))</f>
        <v>0</v>
      </c>
      <c r="Z48" s="176">
        <f>S48*(1+'Pricing Policies'!$C$7/100)*'Pricing Policies'!$D$4*IF($C48="TRF",1,(1+Markups!$B$4/100))</f>
        <v>0</v>
      </c>
      <c r="AA48" s="176">
        <f>S48*(1+'Pricing Policies'!$C$7/100)*'Pricing Policies'!$E$4*IF($C48="TRF",1,(1+Markups!$B$4/100))</f>
        <v>0</v>
      </c>
      <c r="AB48" s="176">
        <f>S48*(1+'Pricing Policies'!$C$7/100)*'Pricing Policies'!$F$4*IF($C48="TRF",1,(1+Markups!$B$4/100))</f>
        <v>0</v>
      </c>
      <c r="AC48" s="73">
        <f t="shared" si="21"/>
        <v>2</v>
      </c>
      <c r="AD48" s="177">
        <f t="shared" si="3"/>
        <v>0</v>
      </c>
      <c r="AE48" s="178">
        <f>AD48*(1+'Pricing Policies'!$C$12/100)*'Pricing Policies'!$D$11</f>
        <v>0</v>
      </c>
      <c r="AF48" s="178">
        <f>AD48*(1+'Pricing Policies'!$C$12/100)*'Pricing Policies'!$E$11</f>
        <v>0</v>
      </c>
      <c r="AG48" s="178">
        <f>AD48*(1+'Pricing Policies'!$C$12/100)*'Pricing Policies'!$F$11</f>
        <v>0</v>
      </c>
      <c r="AH48" s="178">
        <f>AD48*(1+'Pricing Policies'!$C$13/100)*'Pricing Policies'!$D$11</f>
        <v>0</v>
      </c>
      <c r="AI48" s="178">
        <f>AD48*(1+'Pricing Policies'!$C$13/100)*'Pricing Policies'!$E$11</f>
        <v>0</v>
      </c>
      <c r="AJ48" s="178">
        <f>AD48*(1+'Pricing Policies'!$C$13/100)*'Pricing Policies'!$F$11</f>
        <v>0</v>
      </c>
      <c r="AK48" s="178">
        <f>AD48*(1+'Pricing Policies'!$C$14/100)*'Pricing Policies'!$D$11</f>
        <v>0</v>
      </c>
      <c r="AL48" s="178">
        <f>AD48*(1+'Pricing Policies'!$C$14/100)*'Pricing Policies'!$E$11</f>
        <v>0</v>
      </c>
      <c r="AM48" s="178">
        <f>AD48*(1+'Pricing Policies'!$C$14/100)*'Pricing Policies'!$F$11</f>
        <v>0</v>
      </c>
      <c r="AN48" s="178">
        <f t="shared" si="4"/>
        <v>0</v>
      </c>
      <c r="AO48" s="178">
        <f t="shared" si="5"/>
        <v>0</v>
      </c>
      <c r="AP48" s="178"/>
      <c r="AQ48" s="179">
        <f t="shared" si="24"/>
        <v>0</v>
      </c>
      <c r="AR48" s="166">
        <f t="shared" si="6"/>
        <v>0.1</v>
      </c>
      <c r="AS48" s="176">
        <f t="shared" si="7"/>
        <v>0</v>
      </c>
      <c r="AT48" s="166">
        <f t="shared" si="8"/>
        <v>0.05</v>
      </c>
      <c r="AU48" s="176">
        <f t="shared" si="9"/>
        <v>0</v>
      </c>
      <c r="AV48" s="176"/>
      <c r="AW48" s="180">
        <f t="shared" si="25"/>
        <v>0</v>
      </c>
      <c r="AX48" s="176">
        <f t="shared" si="10"/>
        <v>0</v>
      </c>
      <c r="AY48" s="181">
        <f t="shared" si="11"/>
        <v>0</v>
      </c>
      <c r="AZ48" s="182" t="str">
        <f t="shared" si="12"/>
        <v>#DIV/0!</v>
      </c>
    </row>
    <row r="49" ht="15.75" customHeight="1">
      <c r="A49" s="155"/>
      <c r="B49" s="155"/>
      <c r="C49" s="145"/>
      <c r="D49" s="146"/>
      <c r="E49" s="146"/>
      <c r="F49" s="91"/>
      <c r="G49" s="91"/>
      <c r="H49" s="91"/>
      <c r="I49" s="91"/>
      <c r="J49" s="91"/>
      <c r="K49" s="91"/>
      <c r="M49" s="173">
        <f>(E49)*'Base Operating Costs'!$B$13</f>
        <v>0</v>
      </c>
      <c r="N49" s="173">
        <f>(E49)*'Base Operating Costs'!$B$14</f>
        <v>0</v>
      </c>
      <c r="O49" s="173">
        <f>'Base Operating Costs'!$B$15*(E49)</f>
        <v>0</v>
      </c>
      <c r="P49" s="173">
        <f>D49*'Base Operating Costs'!$B$4</f>
        <v>0</v>
      </c>
      <c r="Q49" s="174" t="str">
        <f t="shared" si="2"/>
        <v/>
      </c>
      <c r="R49" s="174"/>
      <c r="S49" s="175">
        <f t="shared" si="23"/>
        <v>0</v>
      </c>
      <c r="T49" s="176">
        <f>S49*(1+'Pricing Policies'!$C$5/100)*'Pricing Policies'!$D$4*IF($C49="TRF",1,(1+Markups!$B$4/100))</f>
        <v>0</v>
      </c>
      <c r="U49" s="176">
        <f>S49*(1+'Pricing Policies'!$C$5/100)*'Pricing Policies'!$E$4*IF($C49="TRF",1,(1+Markups!$B$4/100))</f>
        <v>0</v>
      </c>
      <c r="V49" s="176">
        <f>S49*(1+'Pricing Policies'!$C$5/100)*'Pricing Policies'!$F$4*IF($C49="TRF",1,(1+Markups!$B$4/100))</f>
        <v>0</v>
      </c>
      <c r="W49" s="176">
        <f>S49*(1+'Pricing Policies'!$C$6/100)*'Pricing Policies'!$D$4*IF($C49="TRF",1,(1+Markups!$B$4/100))</f>
        <v>0</v>
      </c>
      <c r="X49" s="176">
        <f>S49*(1+'Pricing Policies'!$C$6/100)*'Pricing Policies'!$E$4*IF($C49="TRF",1,(1+Markups!$B$4/100))</f>
        <v>0</v>
      </c>
      <c r="Y49" s="176">
        <f>S49*(1+'Pricing Policies'!$C$6/100)*'Pricing Policies'!$F$4*IF($C49="TRF",1,(1+Markups!$B$4/100))</f>
        <v>0</v>
      </c>
      <c r="Z49" s="176">
        <f>S49*(1+'Pricing Policies'!$C$7/100)*'Pricing Policies'!$D$4*IF($C49="TRF",1,(1+Markups!$B$4/100))</f>
        <v>0</v>
      </c>
      <c r="AA49" s="176">
        <f>S49*(1+'Pricing Policies'!$C$7/100)*'Pricing Policies'!$E$4*IF($C49="TRF",1,(1+Markups!$B$4/100))</f>
        <v>0</v>
      </c>
      <c r="AB49" s="176">
        <f>S49*(1+'Pricing Policies'!$C$7/100)*'Pricing Policies'!$F$4*IF($C49="TRF",1,(1+Markups!$B$4/100))</f>
        <v>0</v>
      </c>
      <c r="AC49" s="73">
        <f t="shared" si="21"/>
        <v>2</v>
      </c>
      <c r="AD49" s="177">
        <f t="shared" si="3"/>
        <v>0</v>
      </c>
      <c r="AE49" s="178">
        <f>AD49*(1+'Pricing Policies'!$C$12/100)*'Pricing Policies'!$D$11</f>
        <v>0</v>
      </c>
      <c r="AF49" s="178">
        <f>AD49*(1+'Pricing Policies'!$C$12/100)*'Pricing Policies'!$E$11</f>
        <v>0</v>
      </c>
      <c r="AG49" s="178">
        <f>AD49*(1+'Pricing Policies'!$C$12/100)*'Pricing Policies'!$F$11</f>
        <v>0</v>
      </c>
      <c r="AH49" s="178">
        <f>AD49*(1+'Pricing Policies'!$C$13/100)*'Pricing Policies'!$D$11</f>
        <v>0</v>
      </c>
      <c r="AI49" s="178">
        <f>AD49*(1+'Pricing Policies'!$C$13/100)*'Pricing Policies'!$E$11</f>
        <v>0</v>
      </c>
      <c r="AJ49" s="178">
        <f>AD49*(1+'Pricing Policies'!$C$13/100)*'Pricing Policies'!$F$11</f>
        <v>0</v>
      </c>
      <c r="AK49" s="178">
        <f>AD49*(1+'Pricing Policies'!$C$14/100)*'Pricing Policies'!$D$11</f>
        <v>0</v>
      </c>
      <c r="AL49" s="178">
        <f>AD49*(1+'Pricing Policies'!$C$14/100)*'Pricing Policies'!$E$11</f>
        <v>0</v>
      </c>
      <c r="AM49" s="178">
        <f>AD49*(1+'Pricing Policies'!$C$14/100)*'Pricing Policies'!$F$11</f>
        <v>0</v>
      </c>
      <c r="AN49" s="178">
        <f t="shared" si="4"/>
        <v>0</v>
      </c>
      <c r="AO49" s="178">
        <f t="shared" si="5"/>
        <v>0</v>
      </c>
      <c r="AP49" s="178"/>
      <c r="AQ49" s="179">
        <f t="shared" si="24"/>
        <v>0</v>
      </c>
      <c r="AR49" s="166">
        <f t="shared" si="6"/>
        <v>0.1</v>
      </c>
      <c r="AS49" s="176">
        <f t="shared" si="7"/>
        <v>0</v>
      </c>
      <c r="AT49" s="166">
        <f t="shared" si="8"/>
        <v>0.05</v>
      </c>
      <c r="AU49" s="176">
        <f t="shared" si="9"/>
        <v>0</v>
      </c>
      <c r="AV49" s="176"/>
      <c r="AW49" s="180">
        <f t="shared" si="25"/>
        <v>0</v>
      </c>
      <c r="AX49" s="176">
        <f t="shared" si="10"/>
        <v>0</v>
      </c>
      <c r="AY49" s="181">
        <f t="shared" si="11"/>
        <v>0</v>
      </c>
      <c r="AZ49" s="182" t="str">
        <f t="shared" si="12"/>
        <v>#DIV/0!</v>
      </c>
    </row>
    <row r="50" ht="15.75" customHeight="1">
      <c r="A50" s="155"/>
      <c r="B50" s="155"/>
      <c r="C50" s="145"/>
      <c r="D50" s="146"/>
      <c r="E50" s="146"/>
      <c r="F50" s="91"/>
      <c r="G50" s="91"/>
      <c r="H50" s="91"/>
      <c r="I50" s="91"/>
      <c r="J50" s="91"/>
      <c r="K50" s="91"/>
      <c r="M50" s="173">
        <f>(E50)*'Base Operating Costs'!$B$13</f>
        <v>0</v>
      </c>
      <c r="N50" s="173">
        <f>(E50)*'Base Operating Costs'!$B$14</f>
        <v>0</v>
      </c>
      <c r="O50" s="173">
        <f>'Base Operating Costs'!$B$15*(E50)</f>
        <v>0</v>
      </c>
      <c r="P50" s="173">
        <f>D50*'Base Operating Costs'!$B$4</f>
        <v>0</v>
      </c>
      <c r="Q50" s="174" t="str">
        <f t="shared" si="2"/>
        <v/>
      </c>
      <c r="R50" s="174"/>
      <c r="S50" s="175">
        <f t="shared" si="23"/>
        <v>0</v>
      </c>
      <c r="T50" s="176">
        <f>S50*(1+'Pricing Policies'!$C$5/100)*'Pricing Policies'!$D$4*IF($C50="TRF",1,(1+Markups!$B$4/100))</f>
        <v>0</v>
      </c>
      <c r="U50" s="176">
        <f>S50*(1+'Pricing Policies'!$C$5/100)*'Pricing Policies'!$E$4*IF($C50="TRF",1,(1+Markups!$B$4/100))</f>
        <v>0</v>
      </c>
      <c r="V50" s="176">
        <f>S50*(1+'Pricing Policies'!$C$5/100)*'Pricing Policies'!$F$4*IF($C50="TRF",1,(1+Markups!$B$4/100))</f>
        <v>0</v>
      </c>
      <c r="W50" s="176">
        <f>S50*(1+'Pricing Policies'!$C$6/100)*'Pricing Policies'!$D$4*IF($C50="TRF",1,(1+Markups!$B$4/100))</f>
        <v>0</v>
      </c>
      <c r="X50" s="176">
        <f>S50*(1+'Pricing Policies'!$C$6/100)*'Pricing Policies'!$E$4*IF($C50="TRF",1,(1+Markups!$B$4/100))</f>
        <v>0</v>
      </c>
      <c r="Y50" s="176">
        <f>S50*(1+'Pricing Policies'!$C$6/100)*'Pricing Policies'!$F$4*IF($C50="TRF",1,(1+Markups!$B$4/100))</f>
        <v>0</v>
      </c>
      <c r="Z50" s="176">
        <f>S50*(1+'Pricing Policies'!$C$7/100)*'Pricing Policies'!$D$4*IF($C50="TRF",1,(1+Markups!$B$4/100))</f>
        <v>0</v>
      </c>
      <c r="AA50" s="176">
        <f>S50*(1+'Pricing Policies'!$C$7/100)*'Pricing Policies'!$E$4*IF($C50="TRF",1,(1+Markups!$B$4/100))</f>
        <v>0</v>
      </c>
      <c r="AB50" s="176">
        <f>S50*(1+'Pricing Policies'!$C$7/100)*'Pricing Policies'!$F$4*IF($C50="TRF",1,(1+Markups!$B$4/100))</f>
        <v>0</v>
      </c>
      <c r="AC50" s="73">
        <f t="shared" si="21"/>
        <v>2</v>
      </c>
      <c r="AD50" s="177">
        <f t="shared" si="3"/>
        <v>0</v>
      </c>
      <c r="AE50" s="178">
        <f>AD50*(1+'Pricing Policies'!$C$12/100)*'Pricing Policies'!$D$11</f>
        <v>0</v>
      </c>
      <c r="AF50" s="178">
        <f>AD50*(1+'Pricing Policies'!$C$12/100)*'Pricing Policies'!$E$11</f>
        <v>0</v>
      </c>
      <c r="AG50" s="178">
        <f>AD50*(1+'Pricing Policies'!$C$12/100)*'Pricing Policies'!$F$11</f>
        <v>0</v>
      </c>
      <c r="AH50" s="178">
        <f>AD50*(1+'Pricing Policies'!$C$13/100)*'Pricing Policies'!$D$11</f>
        <v>0</v>
      </c>
      <c r="AI50" s="178">
        <f>AD50*(1+'Pricing Policies'!$C$13/100)*'Pricing Policies'!$E$11</f>
        <v>0</v>
      </c>
      <c r="AJ50" s="178">
        <f>AD50*(1+'Pricing Policies'!$C$13/100)*'Pricing Policies'!$F$11</f>
        <v>0</v>
      </c>
      <c r="AK50" s="178">
        <f>AD50*(1+'Pricing Policies'!$C$14/100)*'Pricing Policies'!$D$11</f>
        <v>0</v>
      </c>
      <c r="AL50" s="178">
        <f>AD50*(1+'Pricing Policies'!$C$14/100)*'Pricing Policies'!$E$11</f>
        <v>0</v>
      </c>
      <c r="AM50" s="178">
        <f>AD50*(1+'Pricing Policies'!$C$14/100)*'Pricing Policies'!$F$11</f>
        <v>0</v>
      </c>
      <c r="AN50" s="178">
        <f t="shared" si="4"/>
        <v>0</v>
      </c>
      <c r="AO50" s="178">
        <f t="shared" si="5"/>
        <v>0</v>
      </c>
      <c r="AP50" s="178"/>
      <c r="AQ50" s="179">
        <f t="shared" si="24"/>
        <v>0</v>
      </c>
      <c r="AR50" s="166">
        <f t="shared" si="6"/>
        <v>0.1</v>
      </c>
      <c r="AS50" s="176">
        <f t="shared" si="7"/>
        <v>0</v>
      </c>
      <c r="AT50" s="166">
        <f t="shared" si="8"/>
        <v>0.05</v>
      </c>
      <c r="AU50" s="176">
        <f t="shared" si="9"/>
        <v>0</v>
      </c>
      <c r="AV50" s="176"/>
      <c r="AW50" s="180">
        <f t="shared" si="25"/>
        <v>0</v>
      </c>
      <c r="AX50" s="176">
        <f t="shared" si="10"/>
        <v>0</v>
      </c>
      <c r="AY50" s="181">
        <f t="shared" si="11"/>
        <v>0</v>
      </c>
      <c r="AZ50" s="182" t="str">
        <f t="shared" si="12"/>
        <v>#DIV/0!</v>
      </c>
    </row>
    <row r="51" ht="15.75" customHeight="1">
      <c r="A51" s="155"/>
      <c r="B51" s="155"/>
      <c r="C51" s="145"/>
      <c r="D51" s="146"/>
      <c r="E51" s="146"/>
      <c r="F51" s="91"/>
      <c r="G51" s="91"/>
      <c r="H51" s="91"/>
      <c r="I51" s="91"/>
      <c r="J51" s="91"/>
      <c r="K51" s="91"/>
      <c r="M51" s="173">
        <f>(E51)*'Base Operating Costs'!$B$13</f>
        <v>0</v>
      </c>
      <c r="N51" s="173">
        <f>(E51)*'Base Operating Costs'!$B$14</f>
        <v>0</v>
      </c>
      <c r="O51" s="173">
        <f>'Base Operating Costs'!$B$15*(E51)</f>
        <v>0</v>
      </c>
      <c r="P51" s="173">
        <f>D51*'Base Operating Costs'!$B$4</f>
        <v>0</v>
      </c>
      <c r="Q51" s="174" t="str">
        <f t="shared" si="2"/>
        <v/>
      </c>
      <c r="R51" s="174"/>
      <c r="S51" s="175">
        <f t="shared" si="23"/>
        <v>0</v>
      </c>
      <c r="T51" s="176">
        <f>S51*(1+'Pricing Policies'!$C$5/100)*'Pricing Policies'!$D$4*IF($C51="TRF",1,(1+Markups!$B$4/100))</f>
        <v>0</v>
      </c>
      <c r="U51" s="176">
        <f>S51*(1+'Pricing Policies'!$C$5/100)*'Pricing Policies'!$E$4*IF($C51="TRF",1,(1+Markups!$B$4/100))</f>
        <v>0</v>
      </c>
      <c r="V51" s="176">
        <f>S51*(1+'Pricing Policies'!$C$5/100)*'Pricing Policies'!$F$4*IF($C51="TRF",1,(1+Markups!$B$4/100))</f>
        <v>0</v>
      </c>
      <c r="W51" s="176">
        <f>S51*(1+'Pricing Policies'!$C$6/100)*'Pricing Policies'!$D$4*IF($C51="TRF",1,(1+Markups!$B$4/100))</f>
        <v>0</v>
      </c>
      <c r="X51" s="176">
        <f>S51*(1+'Pricing Policies'!$C$6/100)*'Pricing Policies'!$E$4*IF($C51="TRF",1,(1+Markups!$B$4/100))</f>
        <v>0</v>
      </c>
      <c r="Y51" s="176">
        <f>S51*(1+'Pricing Policies'!$C$6/100)*'Pricing Policies'!$F$4*IF($C51="TRF",1,(1+Markups!$B$4/100))</f>
        <v>0</v>
      </c>
      <c r="Z51" s="176">
        <f>S51*(1+'Pricing Policies'!$C$7/100)*'Pricing Policies'!$D$4*IF($C51="TRF",1,(1+Markups!$B$4/100))</f>
        <v>0</v>
      </c>
      <c r="AA51" s="176">
        <f>S51*(1+'Pricing Policies'!$C$7/100)*'Pricing Policies'!$E$4*IF($C51="TRF",1,(1+Markups!$B$4/100))</f>
        <v>0</v>
      </c>
      <c r="AB51" s="176">
        <f>S51*(1+'Pricing Policies'!$C$7/100)*'Pricing Policies'!$F$4*IF($C51="TRF",1,(1+Markups!$B$4/100))</f>
        <v>0</v>
      </c>
      <c r="AC51" s="73">
        <f t="shared" si="21"/>
        <v>2</v>
      </c>
      <c r="AD51" s="177">
        <f t="shared" si="3"/>
        <v>0</v>
      </c>
      <c r="AE51" s="178">
        <f>AD51*(1+'Pricing Policies'!$C$12/100)*'Pricing Policies'!$D$11</f>
        <v>0</v>
      </c>
      <c r="AF51" s="178">
        <f>AD51*(1+'Pricing Policies'!$C$12/100)*'Pricing Policies'!$E$11</f>
        <v>0</v>
      </c>
      <c r="AG51" s="178">
        <f>AD51*(1+'Pricing Policies'!$C$12/100)*'Pricing Policies'!$F$11</f>
        <v>0</v>
      </c>
      <c r="AH51" s="178">
        <f>AD51*(1+'Pricing Policies'!$C$13/100)*'Pricing Policies'!$D$11</f>
        <v>0</v>
      </c>
      <c r="AI51" s="178">
        <f>AD51*(1+'Pricing Policies'!$C$13/100)*'Pricing Policies'!$E$11</f>
        <v>0</v>
      </c>
      <c r="AJ51" s="178">
        <f>AD51*(1+'Pricing Policies'!$C$13/100)*'Pricing Policies'!$F$11</f>
        <v>0</v>
      </c>
      <c r="AK51" s="178">
        <f>AD51*(1+'Pricing Policies'!$C$14/100)*'Pricing Policies'!$D$11</f>
        <v>0</v>
      </c>
      <c r="AL51" s="178">
        <f>AD51*(1+'Pricing Policies'!$C$14/100)*'Pricing Policies'!$E$11</f>
        <v>0</v>
      </c>
      <c r="AM51" s="178">
        <f>AD51*(1+'Pricing Policies'!$C$14/100)*'Pricing Policies'!$F$11</f>
        <v>0</v>
      </c>
      <c r="AN51" s="178">
        <f t="shared" si="4"/>
        <v>0</v>
      </c>
      <c r="AO51" s="178">
        <f t="shared" si="5"/>
        <v>0</v>
      </c>
      <c r="AP51" s="178"/>
      <c r="AQ51" s="179">
        <f t="shared" si="24"/>
        <v>0</v>
      </c>
      <c r="AR51" s="166">
        <f t="shared" si="6"/>
        <v>0.1</v>
      </c>
      <c r="AS51" s="176">
        <f t="shared" si="7"/>
        <v>0</v>
      </c>
      <c r="AT51" s="166">
        <f t="shared" si="8"/>
        <v>0.05</v>
      </c>
      <c r="AU51" s="176">
        <f t="shared" si="9"/>
        <v>0</v>
      </c>
      <c r="AV51" s="176"/>
      <c r="AW51" s="180">
        <f t="shared" si="25"/>
        <v>0</v>
      </c>
      <c r="AX51" s="176">
        <f t="shared" si="10"/>
        <v>0</v>
      </c>
      <c r="AY51" s="181">
        <f t="shared" si="11"/>
        <v>0</v>
      </c>
      <c r="AZ51" s="182" t="str">
        <f t="shared" si="12"/>
        <v>#DIV/0!</v>
      </c>
    </row>
    <row r="52" ht="15.75" customHeight="1">
      <c r="A52" s="155"/>
      <c r="B52" s="155"/>
      <c r="C52" s="145"/>
      <c r="D52" s="146"/>
      <c r="E52" s="146"/>
      <c r="F52" s="91"/>
      <c r="G52" s="91"/>
      <c r="H52" s="91"/>
      <c r="I52" s="91"/>
      <c r="J52" s="91"/>
      <c r="K52" s="91"/>
      <c r="M52" s="173">
        <f>(E52)*'Base Operating Costs'!$B$13</f>
        <v>0</v>
      </c>
      <c r="N52" s="173">
        <f>(E52)*'Base Operating Costs'!$B$14</f>
        <v>0</v>
      </c>
      <c r="O52" s="173">
        <f>'Base Operating Costs'!$B$15*(E52)</f>
        <v>0</v>
      </c>
      <c r="P52" s="173">
        <f>D52*'Base Operating Costs'!$B$4</f>
        <v>0</v>
      </c>
      <c r="Q52" s="174" t="str">
        <f t="shared" si="2"/>
        <v/>
      </c>
      <c r="R52" s="174"/>
      <c r="S52" s="175">
        <f t="shared" si="23"/>
        <v>0</v>
      </c>
      <c r="T52" s="176">
        <f>S52*(1+'Pricing Policies'!$C$5/100)*'Pricing Policies'!$D$4*IF($C52="TRF",1,(1+Markups!$B$4/100))</f>
        <v>0</v>
      </c>
      <c r="U52" s="176">
        <f>S52*(1+'Pricing Policies'!$C$5/100)*'Pricing Policies'!$E$4*IF($C52="TRF",1,(1+Markups!$B$4/100))</f>
        <v>0</v>
      </c>
      <c r="V52" s="176">
        <f>S52*(1+'Pricing Policies'!$C$5/100)*'Pricing Policies'!$F$4*IF($C52="TRF",1,(1+Markups!$B$4/100))</f>
        <v>0</v>
      </c>
      <c r="W52" s="176">
        <f>S52*(1+'Pricing Policies'!$C$6/100)*'Pricing Policies'!$D$4*IF($C52="TRF",1,(1+Markups!$B$4/100))</f>
        <v>0</v>
      </c>
      <c r="X52" s="176">
        <f>S52*(1+'Pricing Policies'!$C$6/100)*'Pricing Policies'!$E$4*IF($C52="TRF",1,(1+Markups!$B$4/100))</f>
        <v>0</v>
      </c>
      <c r="Y52" s="176">
        <f>S52*(1+'Pricing Policies'!$C$6/100)*'Pricing Policies'!$F$4*IF($C52="TRF",1,(1+Markups!$B$4/100))</f>
        <v>0</v>
      </c>
      <c r="Z52" s="176">
        <f>S52*(1+'Pricing Policies'!$C$7/100)*'Pricing Policies'!$D$4*IF($C52="TRF",1,(1+Markups!$B$4/100))</f>
        <v>0</v>
      </c>
      <c r="AA52" s="176">
        <f>S52*(1+'Pricing Policies'!$C$7/100)*'Pricing Policies'!$E$4*IF($C52="TRF",1,(1+Markups!$B$4/100))</f>
        <v>0</v>
      </c>
      <c r="AB52" s="176">
        <f>S52*(1+'Pricing Policies'!$C$7/100)*'Pricing Policies'!$F$4*IF($C52="TRF",1,(1+Markups!$B$4/100))</f>
        <v>0</v>
      </c>
      <c r="AC52" s="73">
        <f t="shared" si="21"/>
        <v>2</v>
      </c>
      <c r="AD52" s="177">
        <f t="shared" si="3"/>
        <v>0</v>
      </c>
      <c r="AE52" s="178">
        <f>AD52*(1+'Pricing Policies'!$C$12/100)*'Pricing Policies'!$D$11</f>
        <v>0</v>
      </c>
      <c r="AF52" s="178">
        <f>AD52*(1+'Pricing Policies'!$C$12/100)*'Pricing Policies'!$E$11</f>
        <v>0</v>
      </c>
      <c r="AG52" s="178">
        <f>AD52*(1+'Pricing Policies'!$C$12/100)*'Pricing Policies'!$F$11</f>
        <v>0</v>
      </c>
      <c r="AH52" s="178">
        <f>AD52*(1+'Pricing Policies'!$C$13/100)*'Pricing Policies'!$D$11</f>
        <v>0</v>
      </c>
      <c r="AI52" s="178">
        <f>AD52*(1+'Pricing Policies'!$C$13/100)*'Pricing Policies'!$E$11</f>
        <v>0</v>
      </c>
      <c r="AJ52" s="178">
        <f>AD52*(1+'Pricing Policies'!$C$13/100)*'Pricing Policies'!$F$11</f>
        <v>0</v>
      </c>
      <c r="AK52" s="178">
        <f>AD52*(1+'Pricing Policies'!$C$14/100)*'Pricing Policies'!$D$11</f>
        <v>0</v>
      </c>
      <c r="AL52" s="178">
        <f>AD52*(1+'Pricing Policies'!$C$14/100)*'Pricing Policies'!$E$11</f>
        <v>0</v>
      </c>
      <c r="AM52" s="178">
        <f>AD52*(1+'Pricing Policies'!$C$14/100)*'Pricing Policies'!$F$11</f>
        <v>0</v>
      </c>
      <c r="AN52" s="178">
        <f t="shared" si="4"/>
        <v>0</v>
      </c>
      <c r="AO52" s="178">
        <f t="shared" si="5"/>
        <v>0</v>
      </c>
      <c r="AP52" s="178"/>
      <c r="AQ52" s="179">
        <f t="shared" si="24"/>
        <v>0</v>
      </c>
      <c r="AR52" s="166">
        <f t="shared" si="6"/>
        <v>0.1</v>
      </c>
      <c r="AS52" s="176">
        <f t="shared" si="7"/>
        <v>0</v>
      </c>
      <c r="AT52" s="166">
        <f t="shared" si="8"/>
        <v>0.05</v>
      </c>
      <c r="AU52" s="176">
        <f t="shared" si="9"/>
        <v>0</v>
      </c>
      <c r="AV52" s="176"/>
      <c r="AW52" s="180">
        <f t="shared" si="25"/>
        <v>0</v>
      </c>
      <c r="AX52" s="176">
        <f t="shared" si="10"/>
        <v>0</v>
      </c>
      <c r="AY52" s="181">
        <f t="shared" si="11"/>
        <v>0</v>
      </c>
      <c r="AZ52" s="182" t="str">
        <f t="shared" si="12"/>
        <v>#DIV/0!</v>
      </c>
    </row>
    <row r="53" ht="15.75" customHeight="1">
      <c r="A53" s="155"/>
      <c r="B53" s="155"/>
      <c r="C53" s="145"/>
      <c r="D53" s="146"/>
      <c r="E53" s="146"/>
      <c r="F53" s="91"/>
      <c r="G53" s="91"/>
      <c r="H53" s="91"/>
      <c r="I53" s="91"/>
      <c r="J53" s="91"/>
      <c r="K53" s="91"/>
      <c r="M53" s="173">
        <f>(E53)*'Base Operating Costs'!$B$13</f>
        <v>0</v>
      </c>
      <c r="N53" s="173">
        <f>(E53)*'Base Operating Costs'!$B$14</f>
        <v>0</v>
      </c>
      <c r="O53" s="173">
        <f>'Base Operating Costs'!$B$15*(E53)</f>
        <v>0</v>
      </c>
      <c r="P53" s="173">
        <f>D53*'Base Operating Costs'!$B$4</f>
        <v>0</v>
      </c>
      <c r="Q53" s="174" t="str">
        <f t="shared" si="2"/>
        <v/>
      </c>
      <c r="R53" s="174"/>
      <c r="S53" s="175">
        <f t="shared" si="23"/>
        <v>0</v>
      </c>
      <c r="T53" s="176">
        <f>S53*(1+'Pricing Policies'!$C$5/100)*'Pricing Policies'!$D$4*IF($C53="TRF",1,(1+Markups!$B$4/100))</f>
        <v>0</v>
      </c>
      <c r="U53" s="176">
        <f>S53*(1+'Pricing Policies'!$C$5/100)*'Pricing Policies'!$E$4*IF($C53="TRF",1,(1+Markups!$B$4/100))</f>
        <v>0</v>
      </c>
      <c r="V53" s="176">
        <f>S53*(1+'Pricing Policies'!$C$5/100)*'Pricing Policies'!$F$4*IF($C53="TRF",1,(1+Markups!$B$4/100))</f>
        <v>0</v>
      </c>
      <c r="W53" s="176">
        <f>S53*(1+'Pricing Policies'!$C$6/100)*'Pricing Policies'!$D$4*IF($C53="TRF",1,(1+Markups!$B$4/100))</f>
        <v>0</v>
      </c>
      <c r="X53" s="176">
        <f>S53*(1+'Pricing Policies'!$C$6/100)*'Pricing Policies'!$E$4*IF($C53="TRF",1,(1+Markups!$B$4/100))</f>
        <v>0</v>
      </c>
      <c r="Y53" s="176">
        <f>S53*(1+'Pricing Policies'!$C$6/100)*'Pricing Policies'!$F$4*IF($C53="TRF",1,(1+Markups!$B$4/100))</f>
        <v>0</v>
      </c>
      <c r="Z53" s="176">
        <f>S53*(1+'Pricing Policies'!$C$7/100)*'Pricing Policies'!$D$4*IF($C53="TRF",1,(1+Markups!$B$4/100))</f>
        <v>0</v>
      </c>
      <c r="AA53" s="176">
        <f>S53*(1+'Pricing Policies'!$C$7/100)*'Pricing Policies'!$E$4*IF($C53="TRF",1,(1+Markups!$B$4/100))</f>
        <v>0</v>
      </c>
      <c r="AB53" s="176">
        <f>S53*(1+'Pricing Policies'!$C$7/100)*'Pricing Policies'!$F$4*IF($C53="TRF",1,(1+Markups!$B$4/100))</f>
        <v>0</v>
      </c>
      <c r="AC53" s="73">
        <f t="shared" si="21"/>
        <v>2</v>
      </c>
      <c r="AD53" s="177">
        <f t="shared" si="3"/>
        <v>0</v>
      </c>
      <c r="AE53" s="178">
        <f>AD53*(1+'Pricing Policies'!$C$12/100)*'Pricing Policies'!$D$11</f>
        <v>0</v>
      </c>
      <c r="AF53" s="178">
        <f>AD53*(1+'Pricing Policies'!$C$12/100)*'Pricing Policies'!$E$11</f>
        <v>0</v>
      </c>
      <c r="AG53" s="178">
        <f>AD53*(1+'Pricing Policies'!$C$12/100)*'Pricing Policies'!$F$11</f>
        <v>0</v>
      </c>
      <c r="AH53" s="178">
        <f>AD53*(1+'Pricing Policies'!$C$13/100)*'Pricing Policies'!$D$11</f>
        <v>0</v>
      </c>
      <c r="AI53" s="178">
        <f>AD53*(1+'Pricing Policies'!$C$13/100)*'Pricing Policies'!$E$11</f>
        <v>0</v>
      </c>
      <c r="AJ53" s="178">
        <f>AD53*(1+'Pricing Policies'!$C$13/100)*'Pricing Policies'!$F$11</f>
        <v>0</v>
      </c>
      <c r="AK53" s="178">
        <f>AD53*(1+'Pricing Policies'!$C$14/100)*'Pricing Policies'!$D$11</f>
        <v>0</v>
      </c>
      <c r="AL53" s="178">
        <f>AD53*(1+'Pricing Policies'!$C$14/100)*'Pricing Policies'!$E$11</f>
        <v>0</v>
      </c>
      <c r="AM53" s="178">
        <f>AD53*(1+'Pricing Policies'!$C$14/100)*'Pricing Policies'!$F$11</f>
        <v>0</v>
      </c>
      <c r="AN53" s="178">
        <f t="shared" si="4"/>
        <v>0</v>
      </c>
      <c r="AO53" s="178">
        <f t="shared" si="5"/>
        <v>0</v>
      </c>
      <c r="AP53" s="178"/>
      <c r="AQ53" s="179">
        <f t="shared" si="24"/>
        <v>0</v>
      </c>
      <c r="AR53" s="166">
        <f t="shared" si="6"/>
        <v>0.1</v>
      </c>
      <c r="AS53" s="176">
        <f t="shared" si="7"/>
        <v>0</v>
      </c>
      <c r="AT53" s="166">
        <f t="shared" si="8"/>
        <v>0.05</v>
      </c>
      <c r="AU53" s="176">
        <f t="shared" si="9"/>
        <v>0</v>
      </c>
      <c r="AV53" s="176"/>
      <c r="AW53" s="180">
        <f t="shared" si="25"/>
        <v>0</v>
      </c>
      <c r="AX53" s="176">
        <f t="shared" si="10"/>
        <v>0</v>
      </c>
      <c r="AY53" s="181">
        <f t="shared" si="11"/>
        <v>0</v>
      </c>
      <c r="AZ53" s="182" t="str">
        <f t="shared" si="12"/>
        <v>#DIV/0!</v>
      </c>
    </row>
    <row r="54" ht="15.75" customHeight="1">
      <c r="A54" s="155"/>
      <c r="B54" s="155"/>
      <c r="C54" s="145"/>
      <c r="D54" s="146"/>
      <c r="E54" s="146"/>
      <c r="F54" s="91"/>
      <c r="G54" s="91"/>
      <c r="H54" s="91"/>
      <c r="I54" s="91"/>
      <c r="J54" s="91"/>
      <c r="K54" s="91"/>
      <c r="M54" s="173">
        <f>(E54)*'Base Operating Costs'!$B$13</f>
        <v>0</v>
      </c>
      <c r="N54" s="173">
        <f>(E54)*'Base Operating Costs'!$B$14</f>
        <v>0</v>
      </c>
      <c r="O54" s="173">
        <f>'Base Operating Costs'!$B$15*(E54)</f>
        <v>0</v>
      </c>
      <c r="P54" s="173">
        <f>D54*'Base Operating Costs'!$B$4</f>
        <v>0</v>
      </c>
      <c r="Q54" s="174" t="str">
        <f t="shared" si="2"/>
        <v/>
      </c>
      <c r="R54" s="174"/>
      <c r="S54" s="175">
        <f t="shared" si="23"/>
        <v>0</v>
      </c>
      <c r="T54" s="176">
        <f>S54*(1+'Pricing Policies'!$C$5/100)*'Pricing Policies'!$D$4*IF($C54="TRF",1,(1+Markups!$B$4/100))</f>
        <v>0</v>
      </c>
      <c r="U54" s="176">
        <f>S54*(1+'Pricing Policies'!$C$5/100)*'Pricing Policies'!$E$4*IF($C54="TRF",1,(1+Markups!$B$4/100))</f>
        <v>0</v>
      </c>
      <c r="V54" s="176">
        <f>S54*(1+'Pricing Policies'!$C$5/100)*'Pricing Policies'!$F$4*IF($C54="TRF",1,(1+Markups!$B$4/100))</f>
        <v>0</v>
      </c>
      <c r="W54" s="176">
        <f>S54*(1+'Pricing Policies'!$C$6/100)*'Pricing Policies'!$D$4*IF($C54="TRF",1,(1+Markups!$B$4/100))</f>
        <v>0</v>
      </c>
      <c r="X54" s="176">
        <f>S54*(1+'Pricing Policies'!$C$6/100)*'Pricing Policies'!$E$4*IF($C54="TRF",1,(1+Markups!$B$4/100))</f>
        <v>0</v>
      </c>
      <c r="Y54" s="176">
        <f>S54*(1+'Pricing Policies'!$C$6/100)*'Pricing Policies'!$F$4*IF($C54="TRF",1,(1+Markups!$B$4/100))</f>
        <v>0</v>
      </c>
      <c r="Z54" s="176">
        <f>S54*(1+'Pricing Policies'!$C$7/100)*'Pricing Policies'!$D$4*IF($C54="TRF",1,(1+Markups!$B$4/100))</f>
        <v>0</v>
      </c>
      <c r="AA54" s="176">
        <f>S54*(1+'Pricing Policies'!$C$7/100)*'Pricing Policies'!$E$4*IF($C54="TRF",1,(1+Markups!$B$4/100))</f>
        <v>0</v>
      </c>
      <c r="AB54" s="176">
        <f>S54*(1+'Pricing Policies'!$C$7/100)*'Pricing Policies'!$F$4*IF($C54="TRF",1,(1+Markups!$B$4/100))</f>
        <v>0</v>
      </c>
      <c r="AC54" s="73">
        <f t="shared" si="21"/>
        <v>2</v>
      </c>
      <c r="AD54" s="177">
        <f t="shared" si="3"/>
        <v>0</v>
      </c>
      <c r="AE54" s="178">
        <f>AD54*(1+'Pricing Policies'!$C$12/100)*'Pricing Policies'!$D$11</f>
        <v>0</v>
      </c>
      <c r="AF54" s="178">
        <f>AD54*(1+'Pricing Policies'!$C$12/100)*'Pricing Policies'!$E$11</f>
        <v>0</v>
      </c>
      <c r="AG54" s="178">
        <f>AD54*(1+'Pricing Policies'!$C$12/100)*'Pricing Policies'!$F$11</f>
        <v>0</v>
      </c>
      <c r="AH54" s="178">
        <f>AD54*(1+'Pricing Policies'!$C$13/100)*'Pricing Policies'!$D$11</f>
        <v>0</v>
      </c>
      <c r="AI54" s="178">
        <f>AD54*(1+'Pricing Policies'!$C$13/100)*'Pricing Policies'!$E$11</f>
        <v>0</v>
      </c>
      <c r="AJ54" s="178">
        <f>AD54*(1+'Pricing Policies'!$C$13/100)*'Pricing Policies'!$F$11</f>
        <v>0</v>
      </c>
      <c r="AK54" s="178">
        <f>AD54*(1+'Pricing Policies'!$C$14/100)*'Pricing Policies'!$D$11</f>
        <v>0</v>
      </c>
      <c r="AL54" s="178">
        <f>AD54*(1+'Pricing Policies'!$C$14/100)*'Pricing Policies'!$E$11</f>
        <v>0</v>
      </c>
      <c r="AM54" s="178">
        <f>AD54*(1+'Pricing Policies'!$C$14/100)*'Pricing Policies'!$F$11</f>
        <v>0</v>
      </c>
      <c r="AN54" s="178">
        <f t="shared" si="4"/>
        <v>0</v>
      </c>
      <c r="AO54" s="178">
        <f t="shared" si="5"/>
        <v>0</v>
      </c>
      <c r="AP54" s="178"/>
      <c r="AQ54" s="179">
        <f t="shared" si="24"/>
        <v>0</v>
      </c>
      <c r="AR54" s="166">
        <f t="shared" si="6"/>
        <v>0.1</v>
      </c>
      <c r="AS54" s="176">
        <f t="shared" si="7"/>
        <v>0</v>
      </c>
      <c r="AT54" s="166">
        <f t="shared" si="8"/>
        <v>0.05</v>
      </c>
      <c r="AU54" s="176">
        <f t="shared" si="9"/>
        <v>0</v>
      </c>
      <c r="AV54" s="176"/>
      <c r="AW54" s="180">
        <f t="shared" si="25"/>
        <v>0</v>
      </c>
      <c r="AX54" s="176">
        <f t="shared" si="10"/>
        <v>0</v>
      </c>
      <c r="AY54" s="181">
        <f t="shared" si="11"/>
        <v>0</v>
      </c>
      <c r="AZ54" s="182" t="str">
        <f t="shared" si="12"/>
        <v>#DIV/0!</v>
      </c>
    </row>
    <row r="55" ht="15.75" customHeight="1">
      <c r="A55" s="155"/>
      <c r="B55" s="155"/>
      <c r="C55" s="145"/>
      <c r="D55" s="146"/>
      <c r="E55" s="146"/>
      <c r="F55" s="91"/>
      <c r="G55" s="91"/>
      <c r="H55" s="91"/>
      <c r="I55" s="91"/>
      <c r="J55" s="91"/>
      <c r="K55" s="91"/>
      <c r="M55" s="160"/>
      <c r="N55" s="160"/>
      <c r="O55" s="160"/>
      <c r="P55" s="160"/>
      <c r="Q55" s="160"/>
      <c r="R55" s="160"/>
      <c r="S55" s="161"/>
      <c r="AD55" s="161"/>
      <c r="AQ55" s="161"/>
      <c r="AW55" s="168"/>
      <c r="AY55" s="183"/>
    </row>
    <row r="56" ht="15.75" customHeight="1">
      <c r="A56" s="155"/>
      <c r="B56" s="155"/>
      <c r="C56" s="145"/>
      <c r="D56" s="146"/>
      <c r="E56" s="146"/>
      <c r="F56" s="91"/>
      <c r="G56" s="91"/>
      <c r="H56" s="91"/>
      <c r="I56" s="91"/>
      <c r="J56" s="91"/>
      <c r="K56" s="91"/>
      <c r="M56" s="160"/>
      <c r="N56" s="160"/>
      <c r="O56" s="160"/>
      <c r="P56" s="160"/>
      <c r="Q56" s="160"/>
      <c r="R56" s="160"/>
      <c r="S56" s="161"/>
      <c r="AD56" s="161"/>
      <c r="AQ56" s="161"/>
      <c r="AW56" s="168"/>
      <c r="AY56" s="183"/>
    </row>
    <row r="57" ht="15.75" customHeight="1">
      <c r="A57" s="155"/>
      <c r="B57" s="155"/>
      <c r="C57" s="145"/>
      <c r="D57" s="146"/>
      <c r="E57" s="146"/>
      <c r="F57" s="91"/>
      <c r="G57" s="91"/>
      <c r="H57" s="91"/>
      <c r="I57" s="91"/>
      <c r="J57" s="91"/>
      <c r="K57" s="91"/>
      <c r="M57" s="160"/>
      <c r="N57" s="160"/>
      <c r="O57" s="160"/>
      <c r="P57" s="160"/>
      <c r="Q57" s="160"/>
      <c r="R57" s="160"/>
      <c r="S57" s="161"/>
      <c r="AD57" s="161"/>
      <c r="AQ57" s="161"/>
      <c r="AW57" s="168"/>
      <c r="AY57" s="183"/>
    </row>
    <row r="58" ht="15.75" customHeight="1">
      <c r="A58" s="155"/>
      <c r="B58" s="155"/>
      <c r="C58" s="145"/>
      <c r="D58" s="146"/>
      <c r="E58" s="146"/>
      <c r="F58" s="91"/>
      <c r="G58" s="91"/>
      <c r="H58" s="91"/>
      <c r="I58" s="91"/>
      <c r="J58" s="91"/>
      <c r="K58" s="91"/>
      <c r="M58" s="160"/>
      <c r="N58" s="160"/>
      <c r="O58" s="160"/>
      <c r="P58" s="160"/>
      <c r="Q58" s="160"/>
      <c r="R58" s="160"/>
      <c r="S58" s="161"/>
      <c r="AD58" s="161"/>
      <c r="AQ58" s="161"/>
      <c r="AW58" s="168"/>
      <c r="AY58" s="183"/>
    </row>
    <row r="59" ht="15.75" customHeight="1">
      <c r="A59" s="155"/>
      <c r="B59" s="155"/>
      <c r="C59" s="145"/>
      <c r="D59" s="146"/>
      <c r="E59" s="146"/>
      <c r="F59" s="91"/>
      <c r="G59" s="91"/>
      <c r="H59" s="91"/>
      <c r="I59" s="91"/>
      <c r="J59" s="91"/>
      <c r="K59" s="91"/>
      <c r="M59" s="160"/>
      <c r="N59" s="160"/>
      <c r="O59" s="160"/>
      <c r="P59" s="160"/>
      <c r="Q59" s="160"/>
      <c r="R59" s="160"/>
      <c r="S59" s="161"/>
      <c r="AD59" s="161"/>
      <c r="AQ59" s="161"/>
      <c r="AW59" s="168"/>
      <c r="AY59" s="183"/>
    </row>
    <row r="60" ht="15.75" customHeight="1">
      <c r="A60" s="155"/>
      <c r="B60" s="155"/>
      <c r="C60" s="145"/>
      <c r="D60" s="146"/>
      <c r="E60" s="146"/>
      <c r="F60" s="91"/>
      <c r="G60" s="91"/>
      <c r="H60" s="91"/>
      <c r="I60" s="91"/>
      <c r="J60" s="91"/>
      <c r="K60" s="91"/>
      <c r="M60" s="160"/>
      <c r="N60" s="160"/>
      <c r="O60" s="160"/>
      <c r="P60" s="160"/>
      <c r="Q60" s="160"/>
      <c r="R60" s="160"/>
      <c r="S60" s="161"/>
      <c r="AD60" s="161"/>
      <c r="AQ60" s="161"/>
      <c r="AW60" s="168"/>
      <c r="AY60" s="183"/>
    </row>
    <row r="61" ht="15.75" customHeight="1">
      <c r="A61" s="155"/>
      <c r="B61" s="155"/>
      <c r="C61" s="145"/>
      <c r="D61" s="146"/>
      <c r="E61" s="146"/>
      <c r="F61" s="91"/>
      <c r="G61" s="91"/>
      <c r="H61" s="91"/>
      <c r="I61" s="91"/>
      <c r="J61" s="91"/>
      <c r="K61" s="91"/>
      <c r="M61" s="160"/>
      <c r="N61" s="160"/>
      <c r="O61" s="160"/>
      <c r="P61" s="160"/>
      <c r="Q61" s="160"/>
      <c r="R61" s="160"/>
      <c r="S61" s="161"/>
      <c r="AD61" s="161"/>
      <c r="AQ61" s="161"/>
      <c r="AW61" s="168"/>
      <c r="AY61" s="183"/>
    </row>
    <row r="62" ht="15.75" customHeight="1">
      <c r="A62" s="155"/>
      <c r="B62" s="155"/>
      <c r="C62" s="145"/>
      <c r="D62" s="146"/>
      <c r="E62" s="146"/>
      <c r="F62" s="91"/>
      <c r="G62" s="91"/>
      <c r="H62" s="91"/>
      <c r="I62" s="91"/>
      <c r="J62" s="91"/>
      <c r="K62" s="91"/>
      <c r="M62" s="160"/>
      <c r="N62" s="160"/>
      <c r="O62" s="160"/>
      <c r="P62" s="160"/>
      <c r="Q62" s="160"/>
      <c r="R62" s="160"/>
      <c r="S62" s="161"/>
      <c r="AD62" s="161"/>
      <c r="AQ62" s="161"/>
      <c r="AW62" s="168"/>
      <c r="AY62" s="183"/>
    </row>
    <row r="63" ht="15.75" customHeight="1">
      <c r="A63" s="155"/>
      <c r="B63" s="155"/>
      <c r="C63" s="145"/>
      <c r="D63" s="146"/>
      <c r="E63" s="146"/>
      <c r="F63" s="91"/>
      <c r="G63" s="91"/>
      <c r="H63" s="91"/>
      <c r="I63" s="91"/>
      <c r="J63" s="91"/>
      <c r="K63" s="91"/>
      <c r="M63" s="160"/>
      <c r="N63" s="160"/>
      <c r="O63" s="160"/>
      <c r="P63" s="160"/>
      <c r="Q63" s="160"/>
      <c r="R63" s="160"/>
      <c r="S63" s="161"/>
      <c r="AD63" s="161"/>
      <c r="AQ63" s="161"/>
      <c r="AW63" s="168"/>
      <c r="AY63" s="183"/>
    </row>
    <row r="64" ht="15.75" customHeight="1">
      <c r="A64" s="155"/>
      <c r="B64" s="155"/>
      <c r="C64" s="145"/>
      <c r="D64" s="146"/>
      <c r="E64" s="146"/>
      <c r="F64" s="91"/>
      <c r="G64" s="91"/>
      <c r="H64" s="91"/>
      <c r="I64" s="91"/>
      <c r="J64" s="91"/>
      <c r="K64" s="91"/>
      <c r="M64" s="160"/>
      <c r="N64" s="160"/>
      <c r="O64" s="160"/>
      <c r="P64" s="160"/>
      <c r="Q64" s="160"/>
      <c r="R64" s="160"/>
      <c r="S64" s="161"/>
      <c r="AD64" s="161"/>
      <c r="AQ64" s="161"/>
      <c r="AW64" s="168"/>
      <c r="AY64" s="183"/>
    </row>
    <row r="65" ht="15.75" customHeight="1">
      <c r="A65" s="155"/>
      <c r="B65" s="155"/>
      <c r="C65" s="145"/>
      <c r="D65" s="146"/>
      <c r="E65" s="146"/>
      <c r="F65" s="91"/>
      <c r="G65" s="91"/>
      <c r="H65" s="91"/>
      <c r="I65" s="91"/>
      <c r="J65" s="91"/>
      <c r="K65" s="91"/>
      <c r="M65" s="160"/>
      <c r="N65" s="160"/>
      <c r="O65" s="160"/>
      <c r="P65" s="160"/>
      <c r="Q65" s="160"/>
      <c r="R65" s="160"/>
      <c r="S65" s="161"/>
      <c r="AD65" s="161"/>
      <c r="AQ65" s="161"/>
      <c r="AW65" s="168"/>
      <c r="AY65" s="183"/>
    </row>
    <row r="66" ht="15.75" customHeight="1">
      <c r="A66" s="155"/>
      <c r="B66" s="155"/>
      <c r="C66" s="145"/>
      <c r="D66" s="146"/>
      <c r="E66" s="146"/>
      <c r="F66" s="91"/>
      <c r="G66" s="91"/>
      <c r="H66" s="91"/>
      <c r="I66" s="91"/>
      <c r="J66" s="91"/>
      <c r="K66" s="91"/>
      <c r="M66" s="160"/>
      <c r="N66" s="160"/>
      <c r="O66" s="160"/>
      <c r="P66" s="160"/>
      <c r="Q66" s="160"/>
      <c r="R66" s="160"/>
      <c r="S66" s="161"/>
      <c r="AD66" s="161"/>
      <c r="AQ66" s="161"/>
      <c r="AW66" s="168"/>
      <c r="AY66" s="183"/>
    </row>
    <row r="67" ht="15.75" customHeight="1">
      <c r="A67" s="155"/>
      <c r="B67" s="155"/>
      <c r="C67" s="145"/>
      <c r="D67" s="146"/>
      <c r="E67" s="146"/>
      <c r="F67" s="91"/>
      <c r="G67" s="91"/>
      <c r="H67" s="91"/>
      <c r="I67" s="91"/>
      <c r="J67" s="91"/>
      <c r="K67" s="91"/>
      <c r="M67" s="160"/>
      <c r="N67" s="160"/>
      <c r="O67" s="160"/>
      <c r="P67" s="160"/>
      <c r="Q67" s="160"/>
      <c r="R67" s="160"/>
      <c r="S67" s="161"/>
      <c r="AD67" s="161"/>
      <c r="AQ67" s="161"/>
      <c r="AW67" s="168"/>
      <c r="AY67" s="183"/>
    </row>
    <row r="68" ht="15.75" customHeight="1">
      <c r="A68" s="155"/>
      <c r="B68" s="155"/>
      <c r="C68" s="145"/>
      <c r="D68" s="146"/>
      <c r="E68" s="146"/>
      <c r="F68" s="91"/>
      <c r="G68" s="91"/>
      <c r="H68" s="91"/>
      <c r="I68" s="91"/>
      <c r="J68" s="91"/>
      <c r="K68" s="91"/>
      <c r="M68" s="160"/>
      <c r="N68" s="160"/>
      <c r="O68" s="160"/>
      <c r="P68" s="160"/>
      <c r="Q68" s="160"/>
      <c r="R68" s="160"/>
      <c r="S68" s="161"/>
      <c r="AD68" s="161"/>
      <c r="AQ68" s="161"/>
      <c r="AW68" s="168"/>
      <c r="AY68" s="183"/>
    </row>
    <row r="69" ht="15.75" customHeight="1">
      <c r="A69" s="155"/>
      <c r="B69" s="155"/>
      <c r="C69" s="145"/>
      <c r="D69" s="146"/>
      <c r="E69" s="146"/>
      <c r="F69" s="91"/>
      <c r="G69" s="91"/>
      <c r="H69" s="91"/>
      <c r="I69" s="91"/>
      <c r="J69" s="91"/>
      <c r="K69" s="91"/>
      <c r="M69" s="160"/>
      <c r="N69" s="160"/>
      <c r="O69" s="160"/>
      <c r="P69" s="160"/>
      <c r="Q69" s="160"/>
      <c r="R69" s="160"/>
      <c r="S69" s="161"/>
      <c r="AD69" s="161"/>
      <c r="AQ69" s="161"/>
      <c r="AW69" s="168"/>
      <c r="AY69" s="183"/>
    </row>
    <row r="70" ht="15.75" customHeight="1">
      <c r="A70" s="155"/>
      <c r="B70" s="155"/>
      <c r="C70" s="145"/>
      <c r="D70" s="146"/>
      <c r="E70" s="146"/>
      <c r="F70" s="91"/>
      <c r="G70" s="91"/>
      <c r="H70" s="91"/>
      <c r="I70" s="91"/>
      <c r="J70" s="91"/>
      <c r="K70" s="91"/>
      <c r="M70" s="160"/>
      <c r="N70" s="160"/>
      <c r="O70" s="160"/>
      <c r="P70" s="160"/>
      <c r="Q70" s="160"/>
      <c r="R70" s="160"/>
      <c r="S70" s="161"/>
      <c r="AD70" s="161"/>
      <c r="AQ70" s="161"/>
      <c r="AW70" s="168"/>
      <c r="AY70" s="183"/>
    </row>
    <row r="71" ht="15.75" customHeight="1">
      <c r="A71" s="156"/>
      <c r="B71" s="156"/>
      <c r="C71" s="157"/>
      <c r="D71" s="3"/>
      <c r="E71" s="3"/>
      <c r="M71" s="160"/>
      <c r="N71" s="160"/>
      <c r="O71" s="160"/>
      <c r="P71" s="160"/>
      <c r="Q71" s="160"/>
      <c r="R71" s="160"/>
      <c r="S71" s="161"/>
      <c r="AD71" s="161"/>
      <c r="AQ71" s="161"/>
      <c r="AW71" s="168"/>
      <c r="AY71" s="183"/>
    </row>
    <row r="72" ht="15.75" customHeight="1">
      <c r="A72" s="156"/>
      <c r="B72" s="156"/>
      <c r="C72" s="157"/>
      <c r="D72" s="3"/>
      <c r="E72" s="3"/>
      <c r="M72" s="160"/>
      <c r="N72" s="160"/>
      <c r="O72" s="160"/>
      <c r="P72" s="160"/>
      <c r="Q72" s="160"/>
      <c r="R72" s="160"/>
      <c r="S72" s="161"/>
      <c r="AD72" s="161"/>
      <c r="AQ72" s="161"/>
      <c r="AW72" s="168"/>
      <c r="AY72" s="183"/>
    </row>
    <row r="73" ht="15.75" customHeight="1">
      <c r="A73" s="156"/>
      <c r="B73" s="156"/>
      <c r="C73" s="157"/>
      <c r="D73" s="3"/>
      <c r="E73" s="3"/>
      <c r="M73" s="160"/>
      <c r="N73" s="160"/>
      <c r="O73" s="160"/>
      <c r="P73" s="160"/>
      <c r="Q73" s="160"/>
      <c r="R73" s="160"/>
      <c r="S73" s="161"/>
      <c r="AD73" s="161"/>
      <c r="AQ73" s="161"/>
      <c r="AW73" s="168"/>
      <c r="AY73" s="183"/>
    </row>
    <row r="74" ht="15.75" customHeight="1">
      <c r="A74" s="156"/>
      <c r="B74" s="156"/>
      <c r="C74" s="157"/>
      <c r="D74" s="3"/>
      <c r="E74" s="3"/>
      <c r="M74" s="160"/>
      <c r="N74" s="160"/>
      <c r="O74" s="160"/>
      <c r="P74" s="160"/>
      <c r="Q74" s="160"/>
      <c r="R74" s="160"/>
      <c r="S74" s="161"/>
      <c r="AD74" s="161"/>
      <c r="AQ74" s="161"/>
      <c r="AW74" s="168"/>
      <c r="AY74" s="183"/>
    </row>
    <row r="75" ht="15.75" customHeight="1">
      <c r="A75" s="156"/>
      <c r="B75" s="156"/>
      <c r="C75" s="157"/>
      <c r="D75" s="3"/>
      <c r="E75" s="3"/>
      <c r="M75" s="160"/>
      <c r="N75" s="160"/>
      <c r="O75" s="160"/>
      <c r="P75" s="160"/>
      <c r="Q75" s="160"/>
      <c r="R75" s="160"/>
      <c r="S75" s="161"/>
      <c r="AD75" s="161"/>
      <c r="AQ75" s="161"/>
      <c r="AW75" s="168"/>
      <c r="AY75" s="183"/>
    </row>
    <row r="76" ht="15.75" customHeight="1">
      <c r="A76" s="156"/>
      <c r="B76" s="156"/>
      <c r="C76" s="157"/>
      <c r="D76" s="3"/>
      <c r="E76" s="3"/>
      <c r="M76" s="160"/>
      <c r="N76" s="160"/>
      <c r="O76" s="160"/>
      <c r="P76" s="160"/>
      <c r="Q76" s="160"/>
      <c r="R76" s="160"/>
      <c r="S76" s="161"/>
      <c r="AD76" s="161"/>
      <c r="AQ76" s="161"/>
      <c r="AW76" s="168"/>
      <c r="AY76" s="183"/>
    </row>
    <row r="77" ht="15.75" customHeight="1">
      <c r="A77" s="156"/>
      <c r="B77" s="156"/>
      <c r="C77" s="157"/>
      <c r="D77" s="3"/>
      <c r="E77" s="3"/>
      <c r="M77" s="160"/>
      <c r="N77" s="160"/>
      <c r="O77" s="160"/>
      <c r="P77" s="160"/>
      <c r="Q77" s="160"/>
      <c r="R77" s="160"/>
      <c r="S77" s="161"/>
      <c r="AD77" s="161"/>
      <c r="AQ77" s="161"/>
      <c r="AW77" s="168"/>
      <c r="AY77" s="183"/>
    </row>
    <row r="78" ht="15.75" customHeight="1">
      <c r="A78" s="156"/>
      <c r="B78" s="156"/>
      <c r="C78" s="157"/>
      <c r="D78" s="3"/>
      <c r="E78" s="3"/>
      <c r="M78" s="160"/>
      <c r="N78" s="160"/>
      <c r="O78" s="160"/>
      <c r="P78" s="160"/>
      <c r="Q78" s="160"/>
      <c r="R78" s="160"/>
      <c r="S78" s="161"/>
      <c r="AD78" s="161"/>
      <c r="AQ78" s="161"/>
      <c r="AW78" s="168"/>
      <c r="AY78" s="183"/>
    </row>
    <row r="79" ht="15.75" customHeight="1">
      <c r="A79" s="156"/>
      <c r="B79" s="156"/>
      <c r="C79" s="157"/>
      <c r="D79" s="3"/>
      <c r="E79" s="3"/>
      <c r="M79" s="160"/>
      <c r="N79" s="160"/>
      <c r="O79" s="160"/>
      <c r="P79" s="160"/>
      <c r="Q79" s="160"/>
      <c r="R79" s="160"/>
      <c r="S79" s="161"/>
      <c r="AD79" s="161"/>
      <c r="AQ79" s="161"/>
      <c r="AW79" s="168"/>
      <c r="AY79" s="183"/>
    </row>
    <row r="80" ht="15.75" customHeight="1">
      <c r="A80" s="156"/>
      <c r="B80" s="156"/>
      <c r="C80" s="157"/>
      <c r="D80" s="3"/>
      <c r="E80" s="3"/>
      <c r="M80" s="160"/>
      <c r="N80" s="160"/>
      <c r="O80" s="160"/>
      <c r="P80" s="160"/>
      <c r="Q80" s="160"/>
      <c r="R80" s="160"/>
      <c r="S80" s="161"/>
      <c r="AD80" s="161"/>
      <c r="AQ80" s="161"/>
      <c r="AW80" s="168"/>
      <c r="AY80" s="183"/>
    </row>
    <row r="81" ht="15.75" customHeight="1">
      <c r="A81" s="156"/>
      <c r="B81" s="156"/>
      <c r="C81" s="157"/>
      <c r="D81" s="3"/>
      <c r="E81" s="3"/>
      <c r="M81" s="160"/>
      <c r="N81" s="160"/>
      <c r="O81" s="160"/>
      <c r="P81" s="160"/>
      <c r="Q81" s="160"/>
      <c r="R81" s="160"/>
      <c r="S81" s="161"/>
      <c r="AD81" s="161"/>
      <c r="AQ81" s="161"/>
      <c r="AW81" s="168"/>
      <c r="AY81" s="183"/>
    </row>
    <row r="82" ht="15.75" customHeight="1">
      <c r="A82" s="156"/>
      <c r="B82" s="156"/>
      <c r="C82" s="157"/>
      <c r="D82" s="3"/>
      <c r="E82" s="3"/>
      <c r="M82" s="160"/>
      <c r="N82" s="160"/>
      <c r="O82" s="160"/>
      <c r="P82" s="160"/>
      <c r="Q82" s="160"/>
      <c r="R82" s="160"/>
      <c r="S82" s="161"/>
      <c r="AD82" s="161"/>
      <c r="AQ82" s="161"/>
      <c r="AW82" s="168"/>
      <c r="AY82" s="183"/>
    </row>
    <row r="83" ht="15.75" customHeight="1">
      <c r="A83" s="156"/>
      <c r="B83" s="156"/>
      <c r="C83" s="157"/>
      <c r="D83" s="3"/>
      <c r="E83" s="3"/>
      <c r="M83" s="160"/>
      <c r="N83" s="160"/>
      <c r="O83" s="160"/>
      <c r="P83" s="160"/>
      <c r="Q83" s="160"/>
      <c r="R83" s="160"/>
      <c r="S83" s="161"/>
      <c r="AD83" s="161"/>
      <c r="AQ83" s="161"/>
      <c r="AW83" s="168"/>
      <c r="AY83" s="183"/>
    </row>
    <row r="84" ht="15.75" customHeight="1">
      <c r="A84" s="156"/>
      <c r="B84" s="156"/>
      <c r="C84" s="157"/>
      <c r="D84" s="3"/>
      <c r="E84" s="3"/>
      <c r="M84" s="160"/>
      <c r="N84" s="160"/>
      <c r="O84" s="160"/>
      <c r="P84" s="160"/>
      <c r="Q84" s="160"/>
      <c r="R84" s="160"/>
      <c r="S84" s="161"/>
      <c r="AD84" s="161"/>
      <c r="AQ84" s="161"/>
      <c r="AW84" s="168"/>
      <c r="AY84" s="183"/>
    </row>
    <row r="85" ht="15.75" customHeight="1">
      <c r="A85" s="156"/>
      <c r="B85" s="156"/>
      <c r="C85" s="157"/>
      <c r="D85" s="3"/>
      <c r="E85" s="3"/>
      <c r="M85" s="160"/>
      <c r="N85" s="160"/>
      <c r="O85" s="160"/>
      <c r="P85" s="160"/>
      <c r="Q85" s="160"/>
      <c r="R85" s="160"/>
      <c r="S85" s="161"/>
      <c r="AD85" s="161"/>
      <c r="AQ85" s="161"/>
      <c r="AW85" s="168"/>
      <c r="AY85" s="183"/>
    </row>
    <row r="86" ht="15.75" customHeight="1">
      <c r="A86" s="156"/>
      <c r="B86" s="156"/>
      <c r="C86" s="157"/>
      <c r="D86" s="3"/>
      <c r="E86" s="3"/>
      <c r="M86" s="160"/>
      <c r="N86" s="160"/>
      <c r="O86" s="160"/>
      <c r="P86" s="160"/>
      <c r="Q86" s="160"/>
      <c r="R86" s="160"/>
      <c r="S86" s="161"/>
      <c r="AD86" s="161"/>
      <c r="AQ86" s="161"/>
      <c r="AW86" s="168"/>
      <c r="AY86" s="183"/>
    </row>
    <row r="87" ht="15.75" customHeight="1">
      <c r="A87" s="156"/>
      <c r="B87" s="156"/>
      <c r="C87" s="157"/>
      <c r="D87" s="3"/>
      <c r="E87" s="3"/>
      <c r="M87" s="160"/>
      <c r="N87" s="160"/>
      <c r="O87" s="160"/>
      <c r="P87" s="160"/>
      <c r="Q87" s="160"/>
      <c r="R87" s="160"/>
      <c r="S87" s="161"/>
      <c r="AD87" s="161"/>
      <c r="AQ87" s="161"/>
      <c r="AW87" s="168"/>
      <c r="AY87" s="183"/>
    </row>
    <row r="88" ht="15.75" customHeight="1">
      <c r="A88" s="156"/>
      <c r="B88" s="156"/>
      <c r="C88" s="157"/>
      <c r="D88" s="3"/>
      <c r="E88" s="3"/>
      <c r="M88" s="160"/>
      <c r="N88" s="160"/>
      <c r="O88" s="160"/>
      <c r="P88" s="160"/>
      <c r="Q88" s="160"/>
      <c r="R88" s="160"/>
      <c r="S88" s="161"/>
      <c r="AD88" s="161"/>
      <c r="AQ88" s="161"/>
      <c r="AW88" s="168"/>
      <c r="AY88" s="183"/>
    </row>
    <row r="89" ht="15.75" customHeight="1">
      <c r="A89" s="156"/>
      <c r="B89" s="156"/>
      <c r="C89" s="157"/>
      <c r="D89" s="3"/>
      <c r="E89" s="3"/>
      <c r="M89" s="160"/>
      <c r="N89" s="160"/>
      <c r="O89" s="160"/>
      <c r="P89" s="160"/>
      <c r="Q89" s="160"/>
      <c r="R89" s="160"/>
      <c r="S89" s="161"/>
      <c r="AD89" s="161"/>
      <c r="AQ89" s="161"/>
      <c r="AW89" s="168"/>
      <c r="AY89" s="183"/>
    </row>
    <row r="90" ht="15.75" customHeight="1">
      <c r="A90" s="156"/>
      <c r="B90" s="156"/>
      <c r="C90" s="157"/>
      <c r="D90" s="3"/>
      <c r="E90" s="3"/>
      <c r="M90" s="160"/>
      <c r="N90" s="160"/>
      <c r="O90" s="160"/>
      <c r="P90" s="160"/>
      <c r="Q90" s="160"/>
      <c r="R90" s="160"/>
      <c r="S90" s="161"/>
      <c r="AD90" s="161"/>
      <c r="AQ90" s="161"/>
      <c r="AW90" s="168"/>
      <c r="AY90" s="183"/>
    </row>
    <row r="91" ht="15.75" customHeight="1">
      <c r="A91" s="156"/>
      <c r="B91" s="156"/>
      <c r="C91" s="157"/>
      <c r="D91" s="3"/>
      <c r="E91" s="3"/>
      <c r="M91" s="160"/>
      <c r="N91" s="160"/>
      <c r="O91" s="160"/>
      <c r="P91" s="160"/>
      <c r="Q91" s="160"/>
      <c r="R91" s="160"/>
      <c r="S91" s="161"/>
      <c r="AD91" s="161"/>
      <c r="AQ91" s="161"/>
      <c r="AW91" s="168"/>
      <c r="AY91" s="183"/>
    </row>
    <row r="92" ht="15.75" customHeight="1">
      <c r="A92" s="156"/>
      <c r="B92" s="156"/>
      <c r="C92" s="157"/>
      <c r="D92" s="3"/>
      <c r="E92" s="3"/>
      <c r="M92" s="160"/>
      <c r="N92" s="160"/>
      <c r="O92" s="160"/>
      <c r="P92" s="160"/>
      <c r="Q92" s="160"/>
      <c r="R92" s="160"/>
      <c r="S92" s="161"/>
      <c r="AD92" s="161"/>
      <c r="AQ92" s="161"/>
      <c r="AW92" s="168"/>
      <c r="AY92" s="183"/>
    </row>
    <row r="93" ht="15.75" customHeight="1">
      <c r="A93" s="156"/>
      <c r="B93" s="156"/>
      <c r="C93" s="157"/>
      <c r="D93" s="3"/>
      <c r="E93" s="3"/>
      <c r="M93" s="160"/>
      <c r="N93" s="160"/>
      <c r="O93" s="160"/>
      <c r="P93" s="160"/>
      <c r="Q93" s="160"/>
      <c r="R93" s="160"/>
      <c r="S93" s="161"/>
      <c r="AD93" s="161"/>
      <c r="AQ93" s="161"/>
      <c r="AW93" s="168"/>
      <c r="AY93" s="183"/>
    </row>
    <row r="94" ht="15.75" customHeight="1">
      <c r="A94" s="156"/>
      <c r="B94" s="156"/>
      <c r="C94" s="157"/>
      <c r="D94" s="3"/>
      <c r="E94" s="3"/>
      <c r="M94" s="160"/>
      <c r="N94" s="160"/>
      <c r="O94" s="160"/>
      <c r="P94" s="160"/>
      <c r="Q94" s="160"/>
      <c r="R94" s="160"/>
      <c r="S94" s="161"/>
      <c r="AD94" s="161"/>
      <c r="AQ94" s="161"/>
      <c r="AW94" s="168"/>
      <c r="AY94" s="183"/>
    </row>
    <row r="95" ht="15.75" customHeight="1">
      <c r="A95" s="156"/>
      <c r="B95" s="156"/>
      <c r="C95" s="157"/>
      <c r="D95" s="3"/>
      <c r="E95" s="3"/>
      <c r="M95" s="160"/>
      <c r="N95" s="160"/>
      <c r="O95" s="160"/>
      <c r="P95" s="160"/>
      <c r="Q95" s="160"/>
      <c r="R95" s="160"/>
      <c r="S95" s="161"/>
      <c r="AD95" s="161"/>
      <c r="AQ95" s="161"/>
      <c r="AW95" s="168"/>
      <c r="AY95" s="183"/>
    </row>
    <row r="96" ht="15.75" customHeight="1">
      <c r="A96" s="156"/>
      <c r="B96" s="156"/>
      <c r="C96" s="157"/>
      <c r="D96" s="3"/>
      <c r="E96" s="3"/>
      <c r="M96" s="160"/>
      <c r="N96" s="160"/>
      <c r="O96" s="160"/>
      <c r="P96" s="160"/>
      <c r="Q96" s="160"/>
      <c r="R96" s="160"/>
      <c r="S96" s="161"/>
      <c r="AD96" s="161"/>
      <c r="AQ96" s="161"/>
      <c r="AW96" s="168"/>
      <c r="AY96" s="183"/>
    </row>
    <row r="97" ht="15.75" customHeight="1">
      <c r="A97" s="156"/>
      <c r="B97" s="156"/>
      <c r="C97" s="157"/>
      <c r="D97" s="3"/>
      <c r="E97" s="3"/>
      <c r="M97" s="160"/>
      <c r="N97" s="160"/>
      <c r="O97" s="160"/>
      <c r="P97" s="160"/>
      <c r="Q97" s="160"/>
      <c r="R97" s="160"/>
      <c r="S97" s="161"/>
      <c r="AD97" s="161"/>
      <c r="AQ97" s="161"/>
      <c r="AW97" s="168"/>
      <c r="AY97" s="183"/>
    </row>
    <row r="98" ht="15.75" customHeight="1">
      <c r="A98" s="156"/>
      <c r="B98" s="156"/>
      <c r="C98" s="157"/>
      <c r="D98" s="3"/>
      <c r="E98" s="3"/>
      <c r="M98" s="160"/>
      <c r="N98" s="160"/>
      <c r="O98" s="160"/>
      <c r="P98" s="160"/>
      <c r="Q98" s="160"/>
      <c r="R98" s="160"/>
      <c r="S98" s="161"/>
      <c r="AD98" s="161"/>
      <c r="AQ98" s="161"/>
      <c r="AW98" s="168"/>
      <c r="AY98" s="183"/>
    </row>
    <row r="99" ht="15.75" customHeight="1">
      <c r="A99" s="156"/>
      <c r="B99" s="156"/>
      <c r="C99" s="157"/>
      <c r="D99" s="3"/>
      <c r="E99" s="3"/>
      <c r="M99" s="160"/>
      <c r="N99" s="160"/>
      <c r="O99" s="160"/>
      <c r="P99" s="160"/>
      <c r="Q99" s="160"/>
      <c r="R99" s="160"/>
      <c r="S99" s="161"/>
      <c r="AD99" s="161"/>
      <c r="AQ99" s="161"/>
      <c r="AW99" s="168"/>
      <c r="AY99" s="183"/>
    </row>
    <row r="100" ht="15.75" customHeight="1">
      <c r="A100" s="156"/>
      <c r="B100" s="156"/>
      <c r="C100" s="157"/>
      <c r="D100" s="3"/>
      <c r="E100" s="3"/>
      <c r="M100" s="160"/>
      <c r="N100" s="160"/>
      <c r="O100" s="160"/>
      <c r="P100" s="160"/>
      <c r="Q100" s="160"/>
      <c r="R100" s="160"/>
      <c r="S100" s="161"/>
      <c r="AD100" s="161"/>
      <c r="AQ100" s="161"/>
      <c r="AW100" s="168"/>
      <c r="AY100" s="183"/>
    </row>
    <row r="101" ht="15.75" customHeight="1">
      <c r="A101" s="156"/>
      <c r="B101" s="156"/>
      <c r="C101" s="157"/>
      <c r="D101" s="3"/>
      <c r="E101" s="3"/>
      <c r="M101" s="160"/>
      <c r="N101" s="160"/>
      <c r="O101" s="160"/>
      <c r="P101" s="160"/>
      <c r="Q101" s="160"/>
      <c r="R101" s="160"/>
      <c r="S101" s="161"/>
      <c r="AD101" s="161"/>
      <c r="AQ101" s="161"/>
      <c r="AW101" s="168"/>
      <c r="AY101" s="183"/>
    </row>
    <row r="102" ht="15.75" customHeight="1">
      <c r="A102" s="156"/>
      <c r="B102" s="156"/>
      <c r="C102" s="157"/>
      <c r="D102" s="3"/>
      <c r="E102" s="3"/>
      <c r="M102" s="160"/>
      <c r="N102" s="160"/>
      <c r="O102" s="160"/>
      <c r="P102" s="160"/>
      <c r="Q102" s="160"/>
      <c r="R102" s="160"/>
      <c r="S102" s="161"/>
      <c r="AD102" s="161"/>
      <c r="AQ102" s="161"/>
      <c r="AW102" s="168"/>
      <c r="AY102" s="183"/>
    </row>
    <row r="103" ht="15.75" customHeight="1">
      <c r="A103" s="156"/>
      <c r="B103" s="156"/>
      <c r="C103" s="157"/>
      <c r="D103" s="3"/>
      <c r="E103" s="3"/>
      <c r="M103" s="160"/>
      <c r="N103" s="160"/>
      <c r="O103" s="160"/>
      <c r="P103" s="160"/>
      <c r="Q103" s="160"/>
      <c r="R103" s="160"/>
      <c r="S103" s="161"/>
      <c r="AD103" s="161"/>
      <c r="AQ103" s="161"/>
      <c r="AW103" s="168"/>
      <c r="AY103" s="183"/>
    </row>
    <row r="104" ht="15.75" customHeight="1">
      <c r="A104" s="156"/>
      <c r="B104" s="156"/>
      <c r="C104" s="157"/>
      <c r="D104" s="3"/>
      <c r="E104" s="3"/>
      <c r="M104" s="160"/>
      <c r="N104" s="160"/>
      <c r="O104" s="160"/>
      <c r="P104" s="160"/>
      <c r="Q104" s="160"/>
      <c r="R104" s="160"/>
      <c r="S104" s="161"/>
      <c r="AD104" s="161"/>
      <c r="AQ104" s="161"/>
      <c r="AW104" s="168"/>
      <c r="AY104" s="183"/>
    </row>
    <row r="105" ht="15.75" customHeight="1">
      <c r="A105" s="156"/>
      <c r="B105" s="156"/>
      <c r="C105" s="157"/>
      <c r="D105" s="3"/>
      <c r="E105" s="3"/>
      <c r="M105" s="160"/>
      <c r="N105" s="160"/>
      <c r="O105" s="160"/>
      <c r="P105" s="160"/>
      <c r="Q105" s="160"/>
      <c r="R105" s="160"/>
      <c r="S105" s="161"/>
      <c r="AD105" s="161"/>
      <c r="AQ105" s="161"/>
      <c r="AW105" s="168"/>
      <c r="AY105" s="183"/>
    </row>
    <row r="106" ht="15.75" customHeight="1">
      <c r="A106" s="156"/>
      <c r="B106" s="156"/>
      <c r="C106" s="157"/>
      <c r="D106" s="3"/>
      <c r="E106" s="3"/>
      <c r="M106" s="160"/>
      <c r="N106" s="160"/>
      <c r="O106" s="160"/>
      <c r="P106" s="160"/>
      <c r="Q106" s="160"/>
      <c r="R106" s="160"/>
      <c r="S106" s="161"/>
      <c r="AD106" s="161"/>
      <c r="AQ106" s="161"/>
      <c r="AW106" s="168"/>
      <c r="AY106" s="183"/>
    </row>
    <row r="107" ht="15.75" customHeight="1">
      <c r="A107" s="156"/>
      <c r="B107" s="156"/>
      <c r="C107" s="157"/>
      <c r="D107" s="3"/>
      <c r="E107" s="3"/>
      <c r="M107" s="160"/>
      <c r="N107" s="160"/>
      <c r="O107" s="160"/>
      <c r="P107" s="160"/>
      <c r="Q107" s="160"/>
      <c r="R107" s="160"/>
      <c r="S107" s="161"/>
      <c r="AD107" s="161"/>
      <c r="AQ107" s="161"/>
      <c r="AW107" s="168"/>
      <c r="AY107" s="183"/>
    </row>
    <row r="108" ht="15.75" customHeight="1">
      <c r="A108" s="156"/>
      <c r="B108" s="156"/>
      <c r="C108" s="157"/>
      <c r="D108" s="3"/>
      <c r="E108" s="3"/>
      <c r="M108" s="160"/>
      <c r="N108" s="160"/>
      <c r="O108" s="160"/>
      <c r="P108" s="160"/>
      <c r="Q108" s="160"/>
      <c r="R108" s="160"/>
      <c r="S108" s="161"/>
      <c r="AD108" s="161"/>
      <c r="AQ108" s="161"/>
      <c r="AW108" s="168"/>
      <c r="AY108" s="183"/>
    </row>
    <row r="109" ht="15.75" customHeight="1">
      <c r="A109" s="156"/>
      <c r="B109" s="156"/>
      <c r="C109" s="157"/>
      <c r="D109" s="3"/>
      <c r="E109" s="3"/>
      <c r="M109" s="160"/>
      <c r="N109" s="160"/>
      <c r="O109" s="160"/>
      <c r="P109" s="160"/>
      <c r="Q109" s="160"/>
      <c r="R109" s="160"/>
      <c r="S109" s="161"/>
      <c r="AD109" s="161"/>
      <c r="AQ109" s="161"/>
      <c r="AW109" s="168"/>
      <c r="AY109" s="183"/>
    </row>
    <row r="110" ht="15.75" customHeight="1">
      <c r="A110" s="156"/>
      <c r="B110" s="156"/>
      <c r="C110" s="157"/>
      <c r="D110" s="3"/>
      <c r="E110" s="3"/>
      <c r="M110" s="160"/>
      <c r="N110" s="160"/>
      <c r="O110" s="160"/>
      <c r="P110" s="160"/>
      <c r="Q110" s="160"/>
      <c r="R110" s="160"/>
      <c r="S110" s="161"/>
      <c r="AD110" s="161"/>
      <c r="AQ110" s="161"/>
      <c r="AW110" s="168"/>
      <c r="AY110" s="183"/>
    </row>
    <row r="111" ht="15.75" customHeight="1">
      <c r="A111" s="156"/>
      <c r="B111" s="156"/>
      <c r="C111" s="157"/>
      <c r="D111" s="3"/>
      <c r="E111" s="3"/>
      <c r="M111" s="160"/>
      <c r="N111" s="160"/>
      <c r="O111" s="160"/>
      <c r="P111" s="160"/>
      <c r="Q111" s="160"/>
      <c r="R111" s="160"/>
      <c r="S111" s="161"/>
      <c r="AD111" s="161"/>
      <c r="AQ111" s="161"/>
      <c r="AW111" s="168"/>
      <c r="AY111" s="183"/>
    </row>
    <row r="112" ht="15.75" customHeight="1">
      <c r="A112" s="156"/>
      <c r="B112" s="156"/>
      <c r="C112" s="157"/>
      <c r="D112" s="3"/>
      <c r="E112" s="3"/>
      <c r="M112" s="160"/>
      <c r="N112" s="160"/>
      <c r="O112" s="160"/>
      <c r="P112" s="160"/>
      <c r="Q112" s="160"/>
      <c r="R112" s="160"/>
      <c r="S112" s="161"/>
      <c r="AD112" s="161"/>
      <c r="AQ112" s="161"/>
      <c r="AW112" s="168"/>
      <c r="AY112" s="183"/>
    </row>
    <row r="113" ht="15.75" customHeight="1">
      <c r="A113" s="156"/>
      <c r="B113" s="156"/>
      <c r="C113" s="157"/>
      <c r="D113" s="3"/>
      <c r="E113" s="3"/>
      <c r="M113" s="160"/>
      <c r="N113" s="160"/>
      <c r="O113" s="160"/>
      <c r="P113" s="160"/>
      <c r="Q113" s="160"/>
      <c r="R113" s="160"/>
      <c r="S113" s="161"/>
      <c r="AD113" s="161"/>
      <c r="AQ113" s="161"/>
      <c r="AW113" s="168"/>
      <c r="AY113" s="183"/>
    </row>
    <row r="114" ht="15.75" customHeight="1">
      <c r="A114" s="156"/>
      <c r="B114" s="156"/>
      <c r="C114" s="157"/>
      <c r="D114" s="3"/>
      <c r="E114" s="3"/>
      <c r="M114" s="160"/>
      <c r="N114" s="160"/>
      <c r="O114" s="160"/>
      <c r="P114" s="160"/>
      <c r="Q114" s="160"/>
      <c r="R114" s="160"/>
      <c r="S114" s="161"/>
      <c r="AD114" s="161"/>
      <c r="AQ114" s="161"/>
      <c r="AW114" s="168"/>
      <c r="AY114" s="183"/>
    </row>
    <row r="115" ht="15.75" customHeight="1">
      <c r="A115" s="156"/>
      <c r="B115" s="156"/>
      <c r="C115" s="157"/>
      <c r="D115" s="3"/>
      <c r="E115" s="3"/>
      <c r="M115" s="160"/>
      <c r="N115" s="160"/>
      <c r="O115" s="160"/>
      <c r="P115" s="160"/>
      <c r="Q115" s="160"/>
      <c r="R115" s="160"/>
      <c r="S115" s="161"/>
      <c r="AD115" s="161"/>
      <c r="AQ115" s="161"/>
      <c r="AW115" s="168"/>
      <c r="AY115" s="183"/>
    </row>
    <row r="116" ht="15.75" customHeight="1">
      <c r="A116" s="156"/>
      <c r="B116" s="156"/>
      <c r="C116" s="157"/>
      <c r="D116" s="3"/>
      <c r="E116" s="3"/>
      <c r="M116" s="160"/>
      <c r="N116" s="160"/>
      <c r="O116" s="160"/>
      <c r="P116" s="160"/>
      <c r="Q116" s="160"/>
      <c r="R116" s="160"/>
      <c r="S116" s="161"/>
      <c r="AD116" s="161"/>
      <c r="AQ116" s="161"/>
      <c r="AW116" s="168"/>
      <c r="AY116" s="183"/>
    </row>
    <row r="117" ht="15.75" customHeight="1">
      <c r="A117" s="156"/>
      <c r="B117" s="156"/>
      <c r="C117" s="157"/>
      <c r="D117" s="3"/>
      <c r="E117" s="3"/>
      <c r="M117" s="160"/>
      <c r="N117" s="160"/>
      <c r="O117" s="160"/>
      <c r="P117" s="160"/>
      <c r="Q117" s="160"/>
      <c r="R117" s="160"/>
      <c r="S117" s="161"/>
      <c r="AD117" s="161"/>
      <c r="AQ117" s="161"/>
      <c r="AW117" s="168"/>
      <c r="AY117" s="183"/>
    </row>
    <row r="118" ht="15.75" customHeight="1">
      <c r="A118" s="156"/>
      <c r="B118" s="156"/>
      <c r="C118" s="157"/>
      <c r="D118" s="3"/>
      <c r="E118" s="3"/>
      <c r="M118" s="160"/>
      <c r="N118" s="160"/>
      <c r="O118" s="160"/>
      <c r="P118" s="160"/>
      <c r="Q118" s="160"/>
      <c r="R118" s="160"/>
      <c r="S118" s="161"/>
      <c r="AD118" s="161"/>
      <c r="AQ118" s="161"/>
      <c r="AW118" s="168"/>
      <c r="AY118" s="183"/>
    </row>
    <row r="119" ht="15.75" customHeight="1">
      <c r="A119" s="156"/>
      <c r="B119" s="156"/>
      <c r="C119" s="157"/>
      <c r="D119" s="3"/>
      <c r="E119" s="3"/>
      <c r="M119" s="160"/>
      <c r="N119" s="160"/>
      <c r="O119" s="160"/>
      <c r="P119" s="160"/>
      <c r="Q119" s="160"/>
      <c r="R119" s="160"/>
      <c r="S119" s="161"/>
      <c r="AD119" s="161"/>
      <c r="AQ119" s="161"/>
      <c r="AW119" s="168"/>
      <c r="AY119" s="183"/>
    </row>
    <row r="120" ht="15.75" customHeight="1">
      <c r="A120" s="156"/>
      <c r="B120" s="156"/>
      <c r="C120" s="157"/>
      <c r="D120" s="3"/>
      <c r="E120" s="3"/>
      <c r="M120" s="160"/>
      <c r="N120" s="160"/>
      <c r="O120" s="160"/>
      <c r="P120" s="160"/>
      <c r="Q120" s="160"/>
      <c r="R120" s="160"/>
      <c r="S120" s="161"/>
      <c r="AD120" s="161"/>
      <c r="AQ120" s="161"/>
      <c r="AW120" s="168"/>
      <c r="AY120" s="183"/>
    </row>
    <row r="121" ht="15.75" customHeight="1">
      <c r="A121" s="156"/>
      <c r="B121" s="156"/>
      <c r="C121" s="157"/>
      <c r="D121" s="3"/>
      <c r="E121" s="3"/>
      <c r="M121" s="160"/>
      <c r="N121" s="160"/>
      <c r="O121" s="160"/>
      <c r="P121" s="160"/>
      <c r="Q121" s="160"/>
      <c r="R121" s="160"/>
      <c r="S121" s="161"/>
      <c r="AD121" s="161"/>
      <c r="AQ121" s="161"/>
      <c r="AW121" s="168"/>
      <c r="AY121" s="183"/>
    </row>
    <row r="122" ht="15.75" customHeight="1">
      <c r="A122" s="156"/>
      <c r="B122" s="156"/>
      <c r="C122" s="157"/>
      <c r="D122" s="3"/>
      <c r="E122" s="3"/>
      <c r="M122" s="160"/>
      <c r="N122" s="160"/>
      <c r="O122" s="160"/>
      <c r="P122" s="160"/>
      <c r="Q122" s="160"/>
      <c r="R122" s="160"/>
      <c r="S122" s="161"/>
      <c r="AD122" s="161"/>
      <c r="AQ122" s="161"/>
      <c r="AW122" s="168"/>
      <c r="AY122" s="183"/>
    </row>
    <row r="123" ht="15.75" customHeight="1">
      <c r="A123" s="156"/>
      <c r="B123" s="156"/>
      <c r="C123" s="157"/>
      <c r="D123" s="3"/>
      <c r="E123" s="3"/>
      <c r="M123" s="160"/>
      <c r="N123" s="160"/>
      <c r="O123" s="160"/>
      <c r="P123" s="160"/>
      <c r="Q123" s="160"/>
      <c r="R123" s="160"/>
      <c r="S123" s="161"/>
      <c r="AD123" s="161"/>
      <c r="AQ123" s="161"/>
      <c r="AW123" s="168"/>
      <c r="AY123" s="183"/>
    </row>
    <row r="124" ht="15.75" customHeight="1">
      <c r="A124" s="156"/>
      <c r="B124" s="156"/>
      <c r="C124" s="157"/>
      <c r="D124" s="3"/>
      <c r="E124" s="3"/>
      <c r="M124" s="160"/>
      <c r="N124" s="160"/>
      <c r="O124" s="160"/>
      <c r="P124" s="160"/>
      <c r="Q124" s="160"/>
      <c r="R124" s="160"/>
      <c r="S124" s="161"/>
      <c r="AD124" s="161"/>
      <c r="AQ124" s="161"/>
      <c r="AW124" s="168"/>
      <c r="AY124" s="183"/>
    </row>
    <row r="125" ht="15.75" customHeight="1">
      <c r="A125" s="156"/>
      <c r="B125" s="156"/>
      <c r="C125" s="157"/>
      <c r="D125" s="3"/>
      <c r="E125" s="3"/>
      <c r="M125" s="160"/>
      <c r="N125" s="160"/>
      <c r="O125" s="160"/>
      <c r="P125" s="160"/>
      <c r="Q125" s="160"/>
      <c r="R125" s="160"/>
      <c r="S125" s="161"/>
      <c r="AD125" s="161"/>
      <c r="AQ125" s="161"/>
      <c r="AW125" s="168"/>
      <c r="AY125" s="183"/>
    </row>
    <row r="126" ht="15.75" customHeight="1">
      <c r="A126" s="156"/>
      <c r="B126" s="156"/>
      <c r="C126" s="157"/>
      <c r="D126" s="3"/>
      <c r="E126" s="3"/>
      <c r="M126" s="160"/>
      <c r="N126" s="160"/>
      <c r="O126" s="160"/>
      <c r="P126" s="160"/>
      <c r="Q126" s="160"/>
      <c r="R126" s="160"/>
      <c r="S126" s="161"/>
      <c r="AD126" s="161"/>
      <c r="AQ126" s="161"/>
      <c r="AW126" s="168"/>
      <c r="AY126" s="183"/>
    </row>
    <row r="127" ht="15.75" customHeight="1">
      <c r="A127" s="156"/>
      <c r="B127" s="156"/>
      <c r="C127" s="157"/>
      <c r="D127" s="3"/>
      <c r="E127" s="3"/>
      <c r="M127" s="160"/>
      <c r="N127" s="160"/>
      <c r="O127" s="160"/>
      <c r="P127" s="160"/>
      <c r="Q127" s="160"/>
      <c r="R127" s="160"/>
      <c r="S127" s="161"/>
      <c r="AD127" s="161"/>
      <c r="AQ127" s="161"/>
      <c r="AW127" s="168"/>
      <c r="AY127" s="183"/>
    </row>
    <row r="128" ht="15.75" customHeight="1">
      <c r="A128" s="156"/>
      <c r="B128" s="156"/>
      <c r="C128" s="157"/>
      <c r="D128" s="3"/>
      <c r="E128" s="3"/>
      <c r="M128" s="160"/>
      <c r="N128" s="160"/>
      <c r="O128" s="160"/>
      <c r="P128" s="160"/>
      <c r="Q128" s="160"/>
      <c r="R128" s="160"/>
      <c r="S128" s="161"/>
      <c r="AD128" s="161"/>
      <c r="AQ128" s="161"/>
      <c r="AW128" s="168"/>
      <c r="AY128" s="183"/>
    </row>
    <row r="129" ht="15.75" customHeight="1">
      <c r="A129" s="156"/>
      <c r="B129" s="156"/>
      <c r="C129" s="157"/>
      <c r="D129" s="3"/>
      <c r="E129" s="3"/>
      <c r="M129" s="160"/>
      <c r="N129" s="160"/>
      <c r="O129" s="160"/>
      <c r="P129" s="160"/>
      <c r="Q129" s="160"/>
      <c r="R129" s="160"/>
      <c r="S129" s="161"/>
      <c r="AD129" s="161"/>
      <c r="AQ129" s="161"/>
      <c r="AW129" s="168"/>
      <c r="AY129" s="183"/>
    </row>
    <row r="130" ht="15.75" customHeight="1">
      <c r="A130" s="156"/>
      <c r="B130" s="156"/>
      <c r="C130" s="157"/>
      <c r="D130" s="3"/>
      <c r="E130" s="3"/>
      <c r="M130" s="160"/>
      <c r="N130" s="160"/>
      <c r="O130" s="160"/>
      <c r="P130" s="160"/>
      <c r="Q130" s="160"/>
      <c r="R130" s="160"/>
      <c r="S130" s="161"/>
      <c r="AD130" s="161"/>
      <c r="AQ130" s="161"/>
      <c r="AW130" s="168"/>
      <c r="AY130" s="183"/>
    </row>
    <row r="131" ht="15.75" customHeight="1">
      <c r="A131" s="156"/>
      <c r="B131" s="156"/>
      <c r="C131" s="157"/>
      <c r="D131" s="3"/>
      <c r="E131" s="3"/>
      <c r="M131" s="160"/>
      <c r="N131" s="160"/>
      <c r="O131" s="160"/>
      <c r="P131" s="160"/>
      <c r="Q131" s="160"/>
      <c r="R131" s="160"/>
      <c r="S131" s="161"/>
      <c r="AD131" s="161"/>
      <c r="AQ131" s="161"/>
      <c r="AW131" s="168"/>
      <c r="AY131" s="183"/>
    </row>
    <row r="132" ht="15.75" customHeight="1">
      <c r="A132" s="156"/>
      <c r="B132" s="156"/>
      <c r="C132" s="157"/>
      <c r="D132" s="3"/>
      <c r="E132" s="3"/>
      <c r="M132" s="160"/>
      <c r="N132" s="160"/>
      <c r="O132" s="160"/>
      <c r="P132" s="160"/>
      <c r="Q132" s="160"/>
      <c r="R132" s="160"/>
      <c r="S132" s="161"/>
      <c r="AD132" s="161"/>
      <c r="AQ132" s="161"/>
      <c r="AW132" s="168"/>
      <c r="AY132" s="183"/>
    </row>
    <row r="133" ht="15.75" customHeight="1">
      <c r="A133" s="156"/>
      <c r="B133" s="156"/>
      <c r="C133" s="157"/>
      <c r="D133" s="3"/>
      <c r="E133" s="3"/>
      <c r="M133" s="160"/>
      <c r="N133" s="160"/>
      <c r="O133" s="160"/>
      <c r="P133" s="160"/>
      <c r="Q133" s="160"/>
      <c r="R133" s="160"/>
      <c r="S133" s="161"/>
      <c r="AD133" s="161"/>
      <c r="AQ133" s="161"/>
      <c r="AW133" s="168"/>
      <c r="AY133" s="183"/>
    </row>
    <row r="134" ht="15.75" customHeight="1">
      <c r="A134" s="156"/>
      <c r="B134" s="156"/>
      <c r="C134" s="157"/>
      <c r="D134" s="3"/>
      <c r="E134" s="3"/>
      <c r="M134" s="160"/>
      <c r="N134" s="160"/>
      <c r="O134" s="160"/>
      <c r="P134" s="160"/>
      <c r="Q134" s="160"/>
      <c r="R134" s="160"/>
      <c r="S134" s="161"/>
      <c r="AD134" s="161"/>
      <c r="AQ134" s="161"/>
      <c r="AW134" s="168"/>
      <c r="AY134" s="183"/>
    </row>
    <row r="135" ht="15.75" customHeight="1">
      <c r="A135" s="156"/>
      <c r="B135" s="156"/>
      <c r="C135" s="157"/>
      <c r="D135" s="3"/>
      <c r="E135" s="3"/>
      <c r="M135" s="160"/>
      <c r="N135" s="160"/>
      <c r="O135" s="160"/>
      <c r="P135" s="160"/>
      <c r="Q135" s="160"/>
      <c r="R135" s="160"/>
      <c r="S135" s="161"/>
      <c r="AD135" s="161"/>
      <c r="AQ135" s="161"/>
      <c r="AW135" s="168"/>
      <c r="AY135" s="183"/>
    </row>
    <row r="136" ht="15.75" customHeight="1">
      <c r="A136" s="156"/>
      <c r="B136" s="156"/>
      <c r="C136" s="157"/>
      <c r="D136" s="3"/>
      <c r="E136" s="3"/>
      <c r="M136" s="160"/>
      <c r="N136" s="160"/>
      <c r="O136" s="160"/>
      <c r="P136" s="160"/>
      <c r="Q136" s="160"/>
      <c r="R136" s="160"/>
      <c r="S136" s="161"/>
      <c r="AD136" s="161"/>
      <c r="AQ136" s="161"/>
      <c r="AW136" s="168"/>
      <c r="AY136" s="183"/>
    </row>
    <row r="137" ht="15.75" customHeight="1">
      <c r="A137" s="156"/>
      <c r="B137" s="156"/>
      <c r="C137" s="157"/>
      <c r="D137" s="3"/>
      <c r="E137" s="3"/>
      <c r="M137" s="160"/>
      <c r="N137" s="160"/>
      <c r="O137" s="160"/>
      <c r="P137" s="160"/>
      <c r="Q137" s="160"/>
      <c r="R137" s="160"/>
      <c r="S137" s="161"/>
      <c r="AD137" s="161"/>
      <c r="AQ137" s="161"/>
      <c r="AW137" s="168"/>
      <c r="AY137" s="183"/>
    </row>
    <row r="138" ht="15.75" customHeight="1">
      <c r="A138" s="156"/>
      <c r="B138" s="156"/>
      <c r="C138" s="157"/>
      <c r="D138" s="3"/>
      <c r="E138" s="3"/>
      <c r="M138" s="160"/>
      <c r="N138" s="160"/>
      <c r="O138" s="160"/>
      <c r="P138" s="160"/>
      <c r="Q138" s="160"/>
      <c r="R138" s="160"/>
      <c r="S138" s="161"/>
      <c r="AD138" s="161"/>
      <c r="AQ138" s="161"/>
      <c r="AW138" s="168"/>
      <c r="AY138" s="183"/>
    </row>
    <row r="139" ht="15.75" customHeight="1">
      <c r="A139" s="156"/>
      <c r="B139" s="156"/>
      <c r="C139" s="157"/>
      <c r="D139" s="3"/>
      <c r="E139" s="3"/>
      <c r="M139" s="160"/>
      <c r="N139" s="160"/>
      <c r="O139" s="160"/>
      <c r="P139" s="160"/>
      <c r="Q139" s="160"/>
      <c r="R139" s="160"/>
      <c r="S139" s="161"/>
      <c r="AD139" s="161"/>
      <c r="AQ139" s="161"/>
      <c r="AW139" s="168"/>
      <c r="AY139" s="183"/>
    </row>
    <row r="140" ht="15.75" customHeight="1">
      <c r="A140" s="156"/>
      <c r="B140" s="156"/>
      <c r="C140" s="157"/>
      <c r="D140" s="3"/>
      <c r="E140" s="3"/>
      <c r="M140" s="160"/>
      <c r="N140" s="160"/>
      <c r="O140" s="160"/>
      <c r="P140" s="160"/>
      <c r="Q140" s="160"/>
      <c r="R140" s="160"/>
      <c r="S140" s="161"/>
      <c r="AD140" s="161"/>
      <c r="AQ140" s="161"/>
      <c r="AW140" s="168"/>
      <c r="AY140" s="183"/>
    </row>
    <row r="141" ht="15.75" customHeight="1">
      <c r="A141" s="156"/>
      <c r="B141" s="156"/>
      <c r="C141" s="157"/>
      <c r="D141" s="3"/>
      <c r="E141" s="3"/>
      <c r="M141" s="160"/>
      <c r="N141" s="160"/>
      <c r="O141" s="160"/>
      <c r="P141" s="160"/>
      <c r="Q141" s="160"/>
      <c r="R141" s="160"/>
      <c r="S141" s="161"/>
      <c r="AD141" s="161"/>
      <c r="AQ141" s="161"/>
      <c r="AW141" s="168"/>
      <c r="AY141" s="183"/>
    </row>
    <row r="142" ht="15.75" customHeight="1">
      <c r="A142" s="156"/>
      <c r="B142" s="156"/>
      <c r="C142" s="157"/>
      <c r="D142" s="3"/>
      <c r="E142" s="3"/>
      <c r="M142" s="160"/>
      <c r="N142" s="160"/>
      <c r="O142" s="160"/>
      <c r="P142" s="160"/>
      <c r="Q142" s="160"/>
      <c r="R142" s="160"/>
      <c r="S142" s="161"/>
      <c r="AD142" s="161"/>
      <c r="AQ142" s="161"/>
      <c r="AW142" s="168"/>
      <c r="AY142" s="183"/>
    </row>
    <row r="143" ht="15.75" customHeight="1">
      <c r="A143" s="156"/>
      <c r="B143" s="156"/>
      <c r="C143" s="157"/>
      <c r="D143" s="3"/>
      <c r="E143" s="3"/>
      <c r="M143" s="160"/>
      <c r="N143" s="160"/>
      <c r="O143" s="160"/>
      <c r="P143" s="160"/>
      <c r="Q143" s="160"/>
      <c r="R143" s="160"/>
      <c r="S143" s="161"/>
      <c r="AD143" s="161"/>
      <c r="AQ143" s="161"/>
      <c r="AW143" s="168"/>
      <c r="AY143" s="183"/>
    </row>
    <row r="144" ht="15.75" customHeight="1">
      <c r="A144" s="156"/>
      <c r="B144" s="156"/>
      <c r="C144" s="157"/>
      <c r="D144" s="3"/>
      <c r="E144" s="3"/>
      <c r="M144" s="160"/>
      <c r="N144" s="160"/>
      <c r="O144" s="160"/>
      <c r="P144" s="160"/>
      <c r="Q144" s="160"/>
      <c r="R144" s="160"/>
      <c r="S144" s="161"/>
      <c r="AD144" s="161"/>
      <c r="AQ144" s="161"/>
      <c r="AW144" s="168"/>
      <c r="AY144" s="183"/>
    </row>
    <row r="145" ht="15.75" customHeight="1">
      <c r="A145" s="156"/>
      <c r="B145" s="156"/>
      <c r="C145" s="157"/>
      <c r="D145" s="3"/>
      <c r="E145" s="3"/>
      <c r="M145" s="160"/>
      <c r="N145" s="160"/>
      <c r="O145" s="160"/>
      <c r="P145" s="160"/>
      <c r="Q145" s="160"/>
      <c r="R145" s="160"/>
      <c r="S145" s="161"/>
      <c r="AD145" s="161"/>
      <c r="AQ145" s="161"/>
      <c r="AW145" s="168"/>
      <c r="AY145" s="183"/>
    </row>
    <row r="146" ht="15.75" customHeight="1">
      <c r="A146" s="156"/>
      <c r="B146" s="156"/>
      <c r="C146" s="157"/>
      <c r="D146" s="3"/>
      <c r="E146" s="3"/>
      <c r="M146" s="160"/>
      <c r="N146" s="160"/>
      <c r="O146" s="160"/>
      <c r="P146" s="160"/>
      <c r="Q146" s="160"/>
      <c r="R146" s="160"/>
      <c r="S146" s="161"/>
      <c r="AD146" s="161"/>
      <c r="AQ146" s="161"/>
      <c r="AW146" s="168"/>
      <c r="AY146" s="183"/>
    </row>
    <row r="147" ht="15.75" customHeight="1">
      <c r="A147" s="156"/>
      <c r="B147" s="156"/>
      <c r="C147" s="157"/>
      <c r="D147" s="3"/>
      <c r="E147" s="3"/>
      <c r="M147" s="160"/>
      <c r="N147" s="160"/>
      <c r="O147" s="160"/>
      <c r="P147" s="160"/>
      <c r="Q147" s="160"/>
      <c r="R147" s="160"/>
      <c r="S147" s="161"/>
      <c r="AD147" s="161"/>
      <c r="AQ147" s="161"/>
      <c r="AW147" s="168"/>
      <c r="AY147" s="183"/>
    </row>
    <row r="148" ht="15.75" customHeight="1">
      <c r="A148" s="156"/>
      <c r="B148" s="156"/>
      <c r="C148" s="157"/>
      <c r="D148" s="3"/>
      <c r="E148" s="3"/>
      <c r="M148" s="160"/>
      <c r="N148" s="160"/>
      <c r="O148" s="160"/>
      <c r="P148" s="160"/>
      <c r="Q148" s="160"/>
      <c r="R148" s="160"/>
      <c r="S148" s="161"/>
      <c r="AD148" s="161"/>
      <c r="AQ148" s="161"/>
      <c r="AW148" s="168"/>
      <c r="AY148" s="183"/>
    </row>
    <row r="149" ht="15.75" customHeight="1">
      <c r="A149" s="156"/>
      <c r="B149" s="156"/>
      <c r="C149" s="157"/>
      <c r="D149" s="3"/>
      <c r="E149" s="3"/>
      <c r="M149" s="160"/>
      <c r="N149" s="160"/>
      <c r="O149" s="160"/>
      <c r="P149" s="160"/>
      <c r="Q149" s="160"/>
      <c r="R149" s="160"/>
      <c r="S149" s="161"/>
      <c r="AD149" s="161"/>
      <c r="AQ149" s="161"/>
      <c r="AW149" s="168"/>
      <c r="AY149" s="183"/>
    </row>
    <row r="150" ht="15.75" customHeight="1">
      <c r="A150" s="156"/>
      <c r="B150" s="156"/>
      <c r="C150" s="157"/>
      <c r="D150" s="3"/>
      <c r="E150" s="3"/>
      <c r="M150" s="160"/>
      <c r="N150" s="160"/>
      <c r="O150" s="160"/>
      <c r="P150" s="160"/>
      <c r="Q150" s="160"/>
      <c r="R150" s="160"/>
      <c r="S150" s="161"/>
      <c r="AD150" s="161"/>
      <c r="AQ150" s="161"/>
      <c r="AW150" s="168"/>
      <c r="AY150" s="183"/>
    </row>
    <row r="151" ht="15.75" customHeight="1">
      <c r="A151" s="156"/>
      <c r="B151" s="156"/>
      <c r="C151" s="157"/>
      <c r="D151" s="3"/>
      <c r="E151" s="3"/>
      <c r="M151" s="160"/>
      <c r="N151" s="160"/>
      <c r="O151" s="160"/>
      <c r="P151" s="160"/>
      <c r="Q151" s="160"/>
      <c r="R151" s="160"/>
      <c r="S151" s="161"/>
      <c r="AD151" s="161"/>
      <c r="AQ151" s="161"/>
      <c r="AW151" s="168"/>
      <c r="AY151" s="183"/>
    </row>
    <row r="152" ht="15.75" customHeight="1">
      <c r="A152" s="156"/>
      <c r="B152" s="156"/>
      <c r="C152" s="157"/>
      <c r="D152" s="3"/>
      <c r="E152" s="3"/>
      <c r="M152" s="160"/>
      <c r="N152" s="160"/>
      <c r="O152" s="160"/>
      <c r="P152" s="160"/>
      <c r="Q152" s="160"/>
      <c r="R152" s="160"/>
      <c r="S152" s="161"/>
      <c r="AD152" s="161"/>
      <c r="AQ152" s="161"/>
      <c r="AW152" s="168"/>
      <c r="AY152" s="183"/>
    </row>
    <row r="153" ht="15.75" customHeight="1">
      <c r="A153" s="156"/>
      <c r="B153" s="156"/>
      <c r="C153" s="157"/>
      <c r="D153" s="3"/>
      <c r="E153" s="3"/>
      <c r="M153" s="160"/>
      <c r="N153" s="160"/>
      <c r="O153" s="160"/>
      <c r="P153" s="160"/>
      <c r="Q153" s="160"/>
      <c r="R153" s="160"/>
      <c r="S153" s="161"/>
      <c r="AD153" s="161"/>
      <c r="AQ153" s="161"/>
      <c r="AW153" s="168"/>
      <c r="AY153" s="183"/>
    </row>
    <row r="154" ht="15.75" customHeight="1">
      <c r="A154" s="156"/>
      <c r="B154" s="156"/>
      <c r="C154" s="157"/>
      <c r="D154" s="3"/>
      <c r="E154" s="3"/>
      <c r="M154" s="160"/>
      <c r="N154" s="160"/>
      <c r="O154" s="160"/>
      <c r="P154" s="160"/>
      <c r="Q154" s="160"/>
      <c r="R154" s="160"/>
      <c r="S154" s="161"/>
      <c r="AD154" s="161"/>
      <c r="AQ154" s="161"/>
      <c r="AW154" s="168"/>
      <c r="AY154" s="183"/>
    </row>
    <row r="155" ht="15.75" customHeight="1">
      <c r="A155" s="156"/>
      <c r="B155" s="156"/>
      <c r="C155" s="157"/>
      <c r="D155" s="3"/>
      <c r="E155" s="3"/>
      <c r="M155" s="160"/>
      <c r="N155" s="160"/>
      <c r="O155" s="160"/>
      <c r="P155" s="160"/>
      <c r="Q155" s="160"/>
      <c r="R155" s="160"/>
      <c r="S155" s="161"/>
      <c r="AD155" s="161"/>
      <c r="AQ155" s="161"/>
      <c r="AW155" s="168"/>
      <c r="AY155" s="183"/>
    </row>
    <row r="156" ht="15.75" customHeight="1">
      <c r="A156" s="156"/>
      <c r="B156" s="156"/>
      <c r="C156" s="157"/>
      <c r="D156" s="3"/>
      <c r="E156" s="3"/>
      <c r="M156" s="160"/>
      <c r="N156" s="160"/>
      <c r="O156" s="160"/>
      <c r="P156" s="160"/>
      <c r="Q156" s="160"/>
      <c r="R156" s="160"/>
      <c r="S156" s="161"/>
      <c r="AD156" s="161"/>
      <c r="AQ156" s="161"/>
      <c r="AW156" s="168"/>
      <c r="AY156" s="183"/>
    </row>
    <row r="157" ht="15.75" customHeight="1">
      <c r="A157" s="156"/>
      <c r="B157" s="156"/>
      <c r="C157" s="157"/>
      <c r="D157" s="3"/>
      <c r="E157" s="3"/>
      <c r="M157" s="160"/>
      <c r="N157" s="160"/>
      <c r="O157" s="160"/>
      <c r="P157" s="160"/>
      <c r="Q157" s="160"/>
      <c r="R157" s="160"/>
      <c r="S157" s="161"/>
      <c r="AD157" s="161"/>
      <c r="AQ157" s="161"/>
      <c r="AW157" s="168"/>
      <c r="AY157" s="183"/>
    </row>
    <row r="158" ht="15.75" customHeight="1">
      <c r="A158" s="156"/>
      <c r="B158" s="156"/>
      <c r="C158" s="157"/>
      <c r="D158" s="3"/>
      <c r="E158" s="3"/>
      <c r="M158" s="160"/>
      <c r="N158" s="160"/>
      <c r="O158" s="160"/>
      <c r="P158" s="160"/>
      <c r="Q158" s="160"/>
      <c r="R158" s="160"/>
      <c r="S158" s="161"/>
      <c r="AD158" s="161"/>
      <c r="AQ158" s="161"/>
      <c r="AW158" s="168"/>
      <c r="AY158" s="183"/>
    </row>
    <row r="159" ht="15.75" customHeight="1">
      <c r="A159" s="156"/>
      <c r="B159" s="156"/>
      <c r="C159" s="157"/>
      <c r="D159" s="3"/>
      <c r="E159" s="3"/>
      <c r="M159" s="160"/>
      <c r="N159" s="160"/>
      <c r="O159" s="160"/>
      <c r="P159" s="160"/>
      <c r="Q159" s="160"/>
      <c r="R159" s="160"/>
      <c r="S159" s="161"/>
      <c r="AD159" s="161"/>
      <c r="AQ159" s="161"/>
      <c r="AW159" s="168"/>
      <c r="AY159" s="183"/>
    </row>
    <row r="160" ht="15.75" customHeight="1">
      <c r="A160" s="156"/>
      <c r="B160" s="156"/>
      <c r="C160" s="157"/>
      <c r="D160" s="3"/>
      <c r="E160" s="3"/>
      <c r="M160" s="160"/>
      <c r="N160" s="160"/>
      <c r="O160" s="160"/>
      <c r="P160" s="160"/>
      <c r="Q160" s="160"/>
      <c r="R160" s="160"/>
      <c r="S160" s="161"/>
      <c r="AD160" s="161"/>
      <c r="AQ160" s="161"/>
      <c r="AW160" s="168"/>
      <c r="AY160" s="183"/>
    </row>
    <row r="161" ht="15.75" customHeight="1">
      <c r="A161" s="156"/>
      <c r="B161" s="156"/>
      <c r="C161" s="157"/>
      <c r="D161" s="3"/>
      <c r="E161" s="3"/>
      <c r="M161" s="160"/>
      <c r="N161" s="160"/>
      <c r="O161" s="160"/>
      <c r="P161" s="160"/>
      <c r="Q161" s="160"/>
      <c r="R161" s="160"/>
      <c r="S161" s="161"/>
      <c r="AD161" s="161"/>
      <c r="AQ161" s="161"/>
      <c r="AW161" s="168"/>
      <c r="AY161" s="183"/>
    </row>
    <row r="162" ht="15.75" customHeight="1">
      <c r="A162" s="156"/>
      <c r="B162" s="156"/>
      <c r="C162" s="157"/>
      <c r="D162" s="3"/>
      <c r="E162" s="3"/>
      <c r="M162" s="160"/>
      <c r="N162" s="160"/>
      <c r="O162" s="160"/>
      <c r="P162" s="160"/>
      <c r="Q162" s="160"/>
      <c r="R162" s="160"/>
      <c r="S162" s="161"/>
      <c r="AD162" s="161"/>
      <c r="AQ162" s="161"/>
      <c r="AW162" s="168"/>
      <c r="AY162" s="183"/>
    </row>
    <row r="163" ht="15.75" customHeight="1">
      <c r="A163" s="156"/>
      <c r="B163" s="156"/>
      <c r="C163" s="157"/>
      <c r="D163" s="3"/>
      <c r="E163" s="3"/>
      <c r="M163" s="160"/>
      <c r="N163" s="160"/>
      <c r="O163" s="160"/>
      <c r="P163" s="160"/>
      <c r="Q163" s="160"/>
      <c r="R163" s="160"/>
      <c r="S163" s="161"/>
      <c r="AD163" s="161"/>
      <c r="AQ163" s="161"/>
      <c r="AW163" s="168"/>
      <c r="AY163" s="183"/>
    </row>
    <row r="164" ht="15.75" customHeight="1">
      <c r="A164" s="156"/>
      <c r="B164" s="156"/>
      <c r="C164" s="157"/>
      <c r="D164" s="3"/>
      <c r="E164" s="3"/>
      <c r="M164" s="160"/>
      <c r="N164" s="160"/>
      <c r="O164" s="160"/>
      <c r="P164" s="160"/>
      <c r="Q164" s="160"/>
      <c r="R164" s="160"/>
      <c r="S164" s="161"/>
      <c r="AD164" s="161"/>
      <c r="AQ164" s="161"/>
      <c r="AW164" s="168"/>
      <c r="AY164" s="183"/>
    </row>
    <row r="165" ht="15.75" customHeight="1">
      <c r="A165" s="156"/>
      <c r="B165" s="156"/>
      <c r="C165" s="157"/>
      <c r="D165" s="3"/>
      <c r="E165" s="3"/>
      <c r="M165" s="160"/>
      <c r="N165" s="160"/>
      <c r="O165" s="160"/>
      <c r="P165" s="160"/>
      <c r="Q165" s="160"/>
      <c r="R165" s="160"/>
      <c r="S165" s="161"/>
      <c r="AD165" s="161"/>
      <c r="AQ165" s="161"/>
      <c r="AW165" s="168"/>
      <c r="AY165" s="183"/>
    </row>
    <row r="166" ht="15.75" customHeight="1">
      <c r="A166" s="156"/>
      <c r="B166" s="156"/>
      <c r="C166" s="157"/>
      <c r="D166" s="3"/>
      <c r="E166" s="3"/>
      <c r="M166" s="160"/>
      <c r="N166" s="160"/>
      <c r="O166" s="160"/>
      <c r="P166" s="160"/>
      <c r="Q166" s="160"/>
      <c r="R166" s="160"/>
      <c r="S166" s="161"/>
      <c r="AD166" s="161"/>
      <c r="AQ166" s="161"/>
      <c r="AW166" s="168"/>
      <c r="AY166" s="183"/>
    </row>
    <row r="167" ht="15.75" customHeight="1">
      <c r="A167" s="156"/>
      <c r="B167" s="156"/>
      <c r="C167" s="157"/>
      <c r="D167" s="3"/>
      <c r="E167" s="3"/>
      <c r="M167" s="160"/>
      <c r="N167" s="160"/>
      <c r="O167" s="160"/>
      <c r="P167" s="160"/>
      <c r="Q167" s="160"/>
      <c r="R167" s="160"/>
      <c r="S167" s="161"/>
      <c r="AD167" s="161"/>
      <c r="AQ167" s="161"/>
      <c r="AW167" s="168"/>
      <c r="AY167" s="183"/>
    </row>
    <row r="168" ht="15.75" customHeight="1">
      <c r="A168" s="156"/>
      <c r="B168" s="156"/>
      <c r="C168" s="157"/>
      <c r="D168" s="3"/>
      <c r="E168" s="3"/>
      <c r="M168" s="160"/>
      <c r="N168" s="160"/>
      <c r="O168" s="160"/>
      <c r="P168" s="160"/>
      <c r="Q168" s="160"/>
      <c r="R168" s="160"/>
      <c r="S168" s="161"/>
      <c r="AD168" s="161"/>
      <c r="AQ168" s="161"/>
      <c r="AW168" s="168"/>
      <c r="AY168" s="183"/>
    </row>
    <row r="169" ht="15.75" customHeight="1">
      <c r="A169" s="156"/>
      <c r="B169" s="156"/>
      <c r="C169" s="157"/>
      <c r="D169" s="3"/>
      <c r="E169" s="3"/>
      <c r="M169" s="160"/>
      <c r="N169" s="160"/>
      <c r="O169" s="160"/>
      <c r="P169" s="160"/>
      <c r="Q169" s="160"/>
      <c r="R169" s="160"/>
      <c r="S169" s="161"/>
      <c r="AD169" s="161"/>
      <c r="AQ169" s="161"/>
      <c r="AW169" s="168"/>
      <c r="AY169" s="183"/>
    </row>
    <row r="170" ht="15.75" customHeight="1">
      <c r="A170" s="156"/>
      <c r="B170" s="156"/>
      <c r="C170" s="157"/>
      <c r="D170" s="3"/>
      <c r="E170" s="3"/>
      <c r="M170" s="160"/>
      <c r="N170" s="160"/>
      <c r="O170" s="160"/>
      <c r="P170" s="160"/>
      <c r="Q170" s="160"/>
      <c r="R170" s="160"/>
      <c r="S170" s="161"/>
      <c r="AD170" s="161"/>
      <c r="AQ170" s="161"/>
      <c r="AW170" s="168"/>
      <c r="AY170" s="183"/>
    </row>
    <row r="171" ht="15.75" customHeight="1">
      <c r="A171" s="156"/>
      <c r="B171" s="156"/>
      <c r="C171" s="157"/>
      <c r="D171" s="3"/>
      <c r="E171" s="3"/>
      <c r="M171" s="160"/>
      <c r="N171" s="160"/>
      <c r="O171" s="160"/>
      <c r="P171" s="160"/>
      <c r="Q171" s="160"/>
      <c r="R171" s="160"/>
      <c r="S171" s="161"/>
      <c r="AD171" s="161"/>
      <c r="AQ171" s="161"/>
      <c r="AW171" s="168"/>
      <c r="AY171" s="183"/>
    </row>
    <row r="172" ht="15.75" customHeight="1">
      <c r="A172" s="156"/>
      <c r="B172" s="156"/>
      <c r="C172" s="157"/>
      <c r="D172" s="3"/>
      <c r="E172" s="3"/>
      <c r="M172" s="160"/>
      <c r="N172" s="160"/>
      <c r="O172" s="160"/>
      <c r="P172" s="160"/>
      <c r="Q172" s="160"/>
      <c r="R172" s="160"/>
      <c r="S172" s="161"/>
      <c r="AD172" s="161"/>
      <c r="AQ172" s="161"/>
      <c r="AW172" s="168"/>
      <c r="AY172" s="183"/>
    </row>
    <row r="173" ht="15.75" customHeight="1">
      <c r="A173" s="156"/>
      <c r="B173" s="156"/>
      <c r="C173" s="157"/>
      <c r="D173" s="3"/>
      <c r="E173" s="3"/>
      <c r="M173" s="160"/>
      <c r="N173" s="160"/>
      <c r="O173" s="160"/>
      <c r="P173" s="160"/>
      <c r="Q173" s="160"/>
      <c r="R173" s="160"/>
      <c r="S173" s="161"/>
      <c r="AD173" s="161"/>
      <c r="AQ173" s="161"/>
      <c r="AW173" s="168"/>
      <c r="AY173" s="183"/>
    </row>
    <row r="174" ht="15.75" customHeight="1">
      <c r="A174" s="156"/>
      <c r="B174" s="156"/>
      <c r="C174" s="157"/>
      <c r="D174" s="3"/>
      <c r="E174" s="3"/>
      <c r="M174" s="160"/>
      <c r="N174" s="160"/>
      <c r="O174" s="160"/>
      <c r="P174" s="160"/>
      <c r="Q174" s="160"/>
      <c r="R174" s="160"/>
      <c r="S174" s="161"/>
      <c r="AD174" s="161"/>
      <c r="AQ174" s="161"/>
      <c r="AW174" s="168"/>
      <c r="AY174" s="183"/>
    </row>
    <row r="175" ht="15.75" customHeight="1">
      <c r="A175" s="156"/>
      <c r="B175" s="156"/>
      <c r="C175" s="157"/>
      <c r="D175" s="3"/>
      <c r="E175" s="3"/>
      <c r="M175" s="160"/>
      <c r="N175" s="160"/>
      <c r="O175" s="160"/>
      <c r="P175" s="160"/>
      <c r="Q175" s="160"/>
      <c r="R175" s="160"/>
      <c r="S175" s="161"/>
      <c r="AD175" s="161"/>
      <c r="AQ175" s="161"/>
      <c r="AW175" s="168"/>
      <c r="AY175" s="183"/>
    </row>
    <row r="176" ht="15.75" customHeight="1">
      <c r="A176" s="156"/>
      <c r="B176" s="156"/>
      <c r="C176" s="157"/>
      <c r="D176" s="3"/>
      <c r="E176" s="3"/>
      <c r="M176" s="160"/>
      <c r="N176" s="160"/>
      <c r="O176" s="160"/>
      <c r="P176" s="160"/>
      <c r="Q176" s="160"/>
      <c r="R176" s="160"/>
      <c r="S176" s="161"/>
      <c r="AD176" s="161"/>
      <c r="AQ176" s="161"/>
      <c r="AW176" s="168"/>
      <c r="AY176" s="183"/>
    </row>
    <row r="177" ht="15.75" customHeight="1">
      <c r="A177" s="156"/>
      <c r="B177" s="156"/>
      <c r="C177" s="157"/>
      <c r="D177" s="3"/>
      <c r="E177" s="3"/>
      <c r="M177" s="160"/>
      <c r="N177" s="160"/>
      <c r="O177" s="160"/>
      <c r="P177" s="160"/>
      <c r="Q177" s="160"/>
      <c r="R177" s="160"/>
      <c r="S177" s="161"/>
      <c r="AD177" s="161"/>
      <c r="AQ177" s="161"/>
      <c r="AW177" s="168"/>
      <c r="AY177" s="183"/>
    </row>
    <row r="178" ht="15.75" customHeight="1">
      <c r="A178" s="156"/>
      <c r="B178" s="156"/>
      <c r="C178" s="157"/>
      <c r="D178" s="3"/>
      <c r="E178" s="3"/>
      <c r="M178" s="160"/>
      <c r="N178" s="160"/>
      <c r="O178" s="160"/>
      <c r="P178" s="160"/>
      <c r="Q178" s="160"/>
      <c r="R178" s="160"/>
      <c r="S178" s="161"/>
      <c r="AD178" s="161"/>
      <c r="AQ178" s="161"/>
      <c r="AW178" s="168"/>
      <c r="AY178" s="183"/>
    </row>
    <row r="179" ht="15.75" customHeight="1">
      <c r="A179" s="156"/>
      <c r="B179" s="156"/>
      <c r="C179" s="157"/>
      <c r="D179" s="3"/>
      <c r="E179" s="3"/>
      <c r="M179" s="160"/>
      <c r="N179" s="160"/>
      <c r="O179" s="160"/>
      <c r="P179" s="160"/>
      <c r="Q179" s="160"/>
      <c r="R179" s="160"/>
      <c r="S179" s="161"/>
      <c r="AD179" s="161"/>
      <c r="AQ179" s="161"/>
      <c r="AW179" s="168"/>
      <c r="AY179" s="183"/>
    </row>
    <row r="180" ht="15.75" customHeight="1">
      <c r="A180" s="156"/>
      <c r="B180" s="156"/>
      <c r="C180" s="157"/>
      <c r="D180" s="3"/>
      <c r="E180" s="3"/>
      <c r="M180" s="160"/>
      <c r="N180" s="160"/>
      <c r="O180" s="160"/>
      <c r="P180" s="160"/>
      <c r="Q180" s="160"/>
      <c r="R180" s="160"/>
      <c r="S180" s="161"/>
      <c r="AD180" s="161"/>
      <c r="AQ180" s="161"/>
      <c r="AW180" s="168"/>
      <c r="AY180" s="183"/>
    </row>
    <row r="181" ht="15.75" customHeight="1">
      <c r="A181" s="156"/>
      <c r="B181" s="156"/>
      <c r="C181" s="157"/>
      <c r="D181" s="3"/>
      <c r="E181" s="3"/>
      <c r="M181" s="160"/>
      <c r="N181" s="160"/>
      <c r="O181" s="160"/>
      <c r="P181" s="160"/>
      <c r="Q181" s="160"/>
      <c r="R181" s="160"/>
      <c r="S181" s="161"/>
      <c r="AD181" s="161"/>
      <c r="AQ181" s="161"/>
      <c r="AW181" s="168"/>
      <c r="AY181" s="183"/>
    </row>
    <row r="182" ht="15.75" customHeight="1">
      <c r="A182" s="156"/>
      <c r="B182" s="156"/>
      <c r="C182" s="157"/>
      <c r="D182" s="3"/>
      <c r="E182" s="3"/>
      <c r="M182" s="160"/>
      <c r="N182" s="160"/>
      <c r="O182" s="160"/>
      <c r="P182" s="160"/>
      <c r="Q182" s="160"/>
      <c r="R182" s="160"/>
      <c r="S182" s="161"/>
      <c r="AD182" s="161"/>
      <c r="AQ182" s="161"/>
      <c r="AW182" s="168"/>
      <c r="AY182" s="183"/>
    </row>
    <row r="183" ht="15.75" customHeight="1">
      <c r="A183" s="156"/>
      <c r="B183" s="156"/>
      <c r="C183" s="157"/>
      <c r="D183" s="3"/>
      <c r="E183" s="3"/>
      <c r="M183" s="160"/>
      <c r="N183" s="160"/>
      <c r="O183" s="160"/>
      <c r="P183" s="160"/>
      <c r="Q183" s="160"/>
      <c r="R183" s="160"/>
      <c r="S183" s="161"/>
      <c r="AD183" s="161"/>
      <c r="AQ183" s="161"/>
      <c r="AW183" s="168"/>
      <c r="AY183" s="183"/>
    </row>
    <row r="184" ht="15.75" customHeight="1">
      <c r="A184" s="156"/>
      <c r="B184" s="156"/>
      <c r="C184" s="157"/>
      <c r="D184" s="3"/>
      <c r="E184" s="3"/>
      <c r="M184" s="160"/>
      <c r="N184" s="160"/>
      <c r="O184" s="160"/>
      <c r="P184" s="160"/>
      <c r="Q184" s="160"/>
      <c r="R184" s="160"/>
      <c r="S184" s="161"/>
      <c r="AD184" s="161"/>
      <c r="AQ184" s="161"/>
      <c r="AW184" s="168"/>
      <c r="AY184" s="183"/>
    </row>
    <row r="185" ht="15.75" customHeight="1">
      <c r="A185" s="156"/>
      <c r="B185" s="156"/>
      <c r="C185" s="157"/>
      <c r="D185" s="3"/>
      <c r="E185" s="3"/>
      <c r="M185" s="160"/>
      <c r="N185" s="160"/>
      <c r="O185" s="160"/>
      <c r="P185" s="160"/>
      <c r="Q185" s="160"/>
      <c r="R185" s="160"/>
      <c r="S185" s="161"/>
      <c r="AD185" s="161"/>
      <c r="AQ185" s="161"/>
      <c r="AW185" s="168"/>
      <c r="AY185" s="183"/>
    </row>
    <row r="186" ht="15.75" customHeight="1">
      <c r="A186" s="156"/>
      <c r="B186" s="156"/>
      <c r="C186" s="157"/>
      <c r="D186" s="3"/>
      <c r="E186" s="3"/>
      <c r="M186" s="160"/>
      <c r="N186" s="160"/>
      <c r="O186" s="160"/>
      <c r="P186" s="160"/>
      <c r="Q186" s="160"/>
      <c r="R186" s="160"/>
      <c r="S186" s="161"/>
      <c r="AD186" s="161"/>
      <c r="AQ186" s="161"/>
      <c r="AW186" s="168"/>
      <c r="AY186" s="183"/>
    </row>
    <row r="187" ht="15.75" customHeight="1">
      <c r="A187" s="156"/>
      <c r="B187" s="156"/>
      <c r="C187" s="157"/>
      <c r="D187" s="3"/>
      <c r="E187" s="3"/>
      <c r="M187" s="160"/>
      <c r="N187" s="160"/>
      <c r="O187" s="160"/>
      <c r="P187" s="160"/>
      <c r="Q187" s="160"/>
      <c r="R187" s="160"/>
      <c r="S187" s="161"/>
      <c r="AD187" s="161"/>
      <c r="AQ187" s="161"/>
      <c r="AW187" s="168"/>
      <c r="AY187" s="183"/>
    </row>
    <row r="188" ht="15.75" customHeight="1">
      <c r="A188" s="156"/>
      <c r="B188" s="156"/>
      <c r="C188" s="157"/>
      <c r="D188" s="3"/>
      <c r="E188" s="3"/>
      <c r="M188" s="160"/>
      <c r="N188" s="160"/>
      <c r="O188" s="160"/>
      <c r="P188" s="160"/>
      <c r="Q188" s="160"/>
      <c r="R188" s="160"/>
      <c r="S188" s="161"/>
      <c r="AD188" s="161"/>
      <c r="AQ188" s="161"/>
      <c r="AW188" s="168"/>
      <c r="AY188" s="183"/>
    </row>
    <row r="189" ht="15.75" customHeight="1">
      <c r="A189" s="156"/>
      <c r="B189" s="156"/>
      <c r="C189" s="157"/>
      <c r="D189" s="3"/>
      <c r="E189" s="3"/>
      <c r="M189" s="160"/>
      <c r="N189" s="160"/>
      <c r="O189" s="160"/>
      <c r="P189" s="160"/>
      <c r="Q189" s="160"/>
      <c r="R189" s="160"/>
      <c r="S189" s="161"/>
      <c r="AD189" s="161"/>
      <c r="AQ189" s="161"/>
      <c r="AW189" s="168"/>
      <c r="AY189" s="183"/>
    </row>
    <row r="190" ht="15.75" customHeight="1">
      <c r="A190" s="156"/>
      <c r="B190" s="156"/>
      <c r="C190" s="157"/>
      <c r="D190" s="3"/>
      <c r="E190" s="3"/>
      <c r="M190" s="160"/>
      <c r="N190" s="160"/>
      <c r="O190" s="160"/>
      <c r="P190" s="160"/>
      <c r="Q190" s="160"/>
      <c r="R190" s="160"/>
      <c r="S190" s="161"/>
      <c r="AD190" s="161"/>
      <c r="AQ190" s="161"/>
      <c r="AW190" s="168"/>
      <c r="AY190" s="183"/>
    </row>
    <row r="191" ht="15.75" customHeight="1">
      <c r="A191" s="156"/>
      <c r="B191" s="156"/>
      <c r="C191" s="157"/>
      <c r="D191" s="3"/>
      <c r="E191" s="3"/>
      <c r="M191" s="160"/>
      <c r="N191" s="160"/>
      <c r="O191" s="160"/>
      <c r="P191" s="160"/>
      <c r="Q191" s="160"/>
      <c r="R191" s="160"/>
      <c r="S191" s="161"/>
      <c r="AD191" s="161"/>
      <c r="AQ191" s="161"/>
      <c r="AW191" s="168"/>
      <c r="AY191" s="183"/>
    </row>
    <row r="192" ht="15.75" customHeight="1">
      <c r="A192" s="156"/>
      <c r="B192" s="156"/>
      <c r="C192" s="157"/>
      <c r="D192" s="3"/>
      <c r="E192" s="3"/>
      <c r="M192" s="160"/>
      <c r="N192" s="160"/>
      <c r="O192" s="160"/>
      <c r="P192" s="160"/>
      <c r="Q192" s="160"/>
      <c r="R192" s="160"/>
      <c r="S192" s="161"/>
      <c r="AD192" s="161"/>
      <c r="AQ192" s="161"/>
      <c r="AW192" s="168"/>
      <c r="AY192" s="183"/>
    </row>
    <row r="193" ht="15.75" customHeight="1">
      <c r="A193" s="156"/>
      <c r="B193" s="156"/>
      <c r="C193" s="157"/>
      <c r="D193" s="3"/>
      <c r="E193" s="3"/>
      <c r="M193" s="160"/>
      <c r="N193" s="160"/>
      <c r="O193" s="160"/>
      <c r="P193" s="160"/>
      <c r="Q193" s="160"/>
      <c r="R193" s="160"/>
      <c r="S193" s="161"/>
      <c r="AD193" s="161"/>
      <c r="AQ193" s="161"/>
      <c r="AW193" s="168"/>
      <c r="AY193" s="183"/>
    </row>
    <row r="194" ht="15.75" customHeight="1">
      <c r="A194" s="156"/>
      <c r="B194" s="156"/>
      <c r="C194" s="157"/>
      <c r="D194" s="3"/>
      <c r="E194" s="3"/>
      <c r="M194" s="160"/>
      <c r="N194" s="160"/>
      <c r="O194" s="160"/>
      <c r="P194" s="160"/>
      <c r="Q194" s="160"/>
      <c r="R194" s="160"/>
      <c r="S194" s="161"/>
      <c r="AD194" s="161"/>
      <c r="AQ194" s="161"/>
      <c r="AW194" s="168"/>
      <c r="AY194" s="183"/>
    </row>
    <row r="195" ht="15.75" customHeight="1">
      <c r="A195" s="156"/>
      <c r="B195" s="156"/>
      <c r="C195" s="157"/>
      <c r="D195" s="3"/>
      <c r="E195" s="3"/>
      <c r="M195" s="160"/>
      <c r="N195" s="160"/>
      <c r="O195" s="160"/>
      <c r="P195" s="160"/>
      <c r="Q195" s="160"/>
      <c r="R195" s="160"/>
      <c r="S195" s="161"/>
      <c r="AD195" s="161"/>
      <c r="AQ195" s="161"/>
      <c r="AW195" s="168"/>
      <c r="AY195" s="183"/>
    </row>
    <row r="196" ht="15.75" customHeight="1">
      <c r="A196" s="156"/>
      <c r="B196" s="156"/>
      <c r="C196" s="157"/>
      <c r="D196" s="3"/>
      <c r="E196" s="3"/>
      <c r="M196" s="160"/>
      <c r="N196" s="160"/>
      <c r="O196" s="160"/>
      <c r="P196" s="160"/>
      <c r="Q196" s="160"/>
      <c r="R196" s="160"/>
      <c r="S196" s="161"/>
      <c r="AD196" s="161"/>
      <c r="AQ196" s="161"/>
      <c r="AW196" s="168"/>
      <c r="AY196" s="183"/>
    </row>
    <row r="197" ht="15.75" customHeight="1">
      <c r="A197" s="156"/>
      <c r="B197" s="156"/>
      <c r="C197" s="157"/>
      <c r="D197" s="3"/>
      <c r="E197" s="3"/>
      <c r="M197" s="160"/>
      <c r="N197" s="160"/>
      <c r="O197" s="160"/>
      <c r="P197" s="160"/>
      <c r="Q197" s="160"/>
      <c r="R197" s="160"/>
      <c r="S197" s="161"/>
      <c r="AD197" s="161"/>
      <c r="AQ197" s="161"/>
      <c r="AW197" s="168"/>
      <c r="AY197" s="183"/>
    </row>
    <row r="198" ht="15.75" customHeight="1">
      <c r="A198" s="156"/>
      <c r="B198" s="156"/>
      <c r="C198" s="157"/>
      <c r="D198" s="3"/>
      <c r="E198" s="3"/>
      <c r="M198" s="160"/>
      <c r="N198" s="160"/>
      <c r="O198" s="160"/>
      <c r="P198" s="160"/>
      <c r="Q198" s="160"/>
      <c r="R198" s="160"/>
      <c r="S198" s="161"/>
      <c r="AD198" s="161"/>
      <c r="AQ198" s="161"/>
      <c r="AW198" s="168"/>
      <c r="AY198" s="183"/>
    </row>
    <row r="199" ht="15.75" customHeight="1">
      <c r="A199" s="156"/>
      <c r="B199" s="156"/>
      <c r="C199" s="157"/>
      <c r="D199" s="3"/>
      <c r="E199" s="3"/>
      <c r="M199" s="160"/>
      <c r="N199" s="160"/>
      <c r="O199" s="160"/>
      <c r="P199" s="160"/>
      <c r="Q199" s="160"/>
      <c r="R199" s="160"/>
      <c r="S199" s="161"/>
      <c r="AD199" s="161"/>
      <c r="AQ199" s="161"/>
      <c r="AW199" s="168"/>
      <c r="AY199" s="183"/>
    </row>
    <row r="200" ht="15.75" customHeight="1">
      <c r="A200" s="156"/>
      <c r="B200" s="156"/>
      <c r="C200" s="157"/>
      <c r="D200" s="3"/>
      <c r="E200" s="3"/>
      <c r="M200" s="160"/>
      <c r="N200" s="160"/>
      <c r="O200" s="160"/>
      <c r="P200" s="160"/>
      <c r="Q200" s="160"/>
      <c r="R200" s="160"/>
      <c r="S200" s="161"/>
      <c r="AD200" s="161"/>
      <c r="AQ200" s="161"/>
      <c r="AW200" s="168"/>
      <c r="AY200" s="183"/>
    </row>
    <row r="201" ht="15.75" customHeight="1">
      <c r="A201" s="156"/>
      <c r="B201" s="156"/>
      <c r="C201" s="157"/>
      <c r="D201" s="3"/>
      <c r="E201" s="3"/>
      <c r="M201" s="160"/>
      <c r="N201" s="160"/>
      <c r="O201" s="160"/>
      <c r="P201" s="160"/>
      <c r="Q201" s="160"/>
      <c r="R201" s="160"/>
      <c r="S201" s="161"/>
      <c r="AD201" s="161"/>
      <c r="AQ201" s="161"/>
      <c r="AW201" s="168"/>
      <c r="AY201" s="183"/>
    </row>
    <row r="202" ht="15.75" customHeight="1">
      <c r="A202" s="156"/>
      <c r="B202" s="156"/>
      <c r="C202" s="157"/>
      <c r="D202" s="3"/>
      <c r="E202" s="3"/>
      <c r="M202" s="160"/>
      <c r="N202" s="160"/>
      <c r="O202" s="160"/>
      <c r="P202" s="160"/>
      <c r="Q202" s="160"/>
      <c r="R202" s="160"/>
      <c r="S202" s="161"/>
      <c r="AD202" s="161"/>
      <c r="AQ202" s="161"/>
      <c r="AW202" s="168"/>
      <c r="AY202" s="183"/>
    </row>
    <row r="203" ht="15.75" customHeight="1">
      <c r="A203" s="156"/>
      <c r="B203" s="156"/>
      <c r="C203" s="157"/>
      <c r="D203" s="3"/>
      <c r="E203" s="3"/>
      <c r="M203" s="160"/>
      <c r="N203" s="160"/>
      <c r="O203" s="160"/>
      <c r="P203" s="160"/>
      <c r="Q203" s="160"/>
      <c r="R203" s="160"/>
      <c r="S203" s="161"/>
      <c r="AD203" s="161"/>
      <c r="AQ203" s="161"/>
      <c r="AW203" s="168"/>
      <c r="AY203" s="183"/>
    </row>
    <row r="204" ht="15.75" customHeight="1">
      <c r="A204" s="156"/>
      <c r="B204" s="156"/>
      <c r="C204" s="157"/>
      <c r="D204" s="3"/>
      <c r="E204" s="3"/>
      <c r="M204" s="160"/>
      <c r="N204" s="160"/>
      <c r="O204" s="160"/>
      <c r="P204" s="160"/>
      <c r="Q204" s="160"/>
      <c r="R204" s="160"/>
      <c r="S204" s="161"/>
      <c r="AD204" s="161"/>
      <c r="AQ204" s="161"/>
      <c r="AW204" s="168"/>
      <c r="AY204" s="183"/>
    </row>
    <row r="205" ht="15.75" customHeight="1">
      <c r="A205" s="156"/>
      <c r="B205" s="156"/>
      <c r="C205" s="157"/>
      <c r="D205" s="3"/>
      <c r="E205" s="3"/>
      <c r="M205" s="160"/>
      <c r="N205" s="160"/>
      <c r="O205" s="160"/>
      <c r="P205" s="160"/>
      <c r="Q205" s="160"/>
      <c r="R205" s="160"/>
      <c r="S205" s="161"/>
      <c r="AD205" s="161"/>
      <c r="AQ205" s="161"/>
      <c r="AW205" s="168"/>
      <c r="AY205" s="183"/>
    </row>
    <row r="206" ht="15.75" customHeight="1">
      <c r="A206" s="156"/>
      <c r="B206" s="156"/>
      <c r="C206" s="157"/>
      <c r="D206" s="3"/>
      <c r="E206" s="3"/>
      <c r="M206" s="160"/>
      <c r="N206" s="160"/>
      <c r="O206" s="160"/>
      <c r="P206" s="160"/>
      <c r="Q206" s="160"/>
      <c r="R206" s="160"/>
      <c r="S206" s="161"/>
      <c r="AD206" s="161"/>
      <c r="AQ206" s="161"/>
      <c r="AW206" s="168"/>
      <c r="AY206" s="183"/>
    </row>
    <row r="207" ht="15.75" customHeight="1">
      <c r="A207" s="156"/>
      <c r="B207" s="156"/>
      <c r="C207" s="157"/>
      <c r="D207" s="3"/>
      <c r="E207" s="3"/>
      <c r="M207" s="160"/>
      <c r="N207" s="160"/>
      <c r="O207" s="160"/>
      <c r="P207" s="160"/>
      <c r="Q207" s="160"/>
      <c r="R207" s="160"/>
      <c r="S207" s="161"/>
      <c r="AD207" s="161"/>
      <c r="AQ207" s="161"/>
      <c r="AW207" s="168"/>
      <c r="AY207" s="183"/>
    </row>
    <row r="208" ht="15.75" customHeight="1">
      <c r="A208" s="156"/>
      <c r="B208" s="156"/>
      <c r="C208" s="157"/>
      <c r="D208" s="3"/>
      <c r="E208" s="3"/>
      <c r="M208" s="160"/>
      <c r="N208" s="160"/>
      <c r="O208" s="160"/>
      <c r="P208" s="160"/>
      <c r="Q208" s="160"/>
      <c r="R208" s="160"/>
      <c r="S208" s="161"/>
      <c r="AD208" s="161"/>
      <c r="AQ208" s="161"/>
      <c r="AW208" s="168"/>
      <c r="AY208" s="183"/>
    </row>
    <row r="209" ht="15.75" customHeight="1">
      <c r="A209" s="156"/>
      <c r="B209" s="156"/>
      <c r="C209" s="157"/>
      <c r="D209" s="3"/>
      <c r="E209" s="3"/>
      <c r="M209" s="160"/>
      <c r="N209" s="160"/>
      <c r="O209" s="160"/>
      <c r="P209" s="160"/>
      <c r="Q209" s="160"/>
      <c r="R209" s="160"/>
      <c r="S209" s="161"/>
      <c r="AD209" s="161"/>
      <c r="AQ209" s="161"/>
      <c r="AW209" s="168"/>
      <c r="AY209" s="183"/>
    </row>
    <row r="210" ht="15.75" customHeight="1">
      <c r="A210" s="156"/>
      <c r="B210" s="156"/>
      <c r="C210" s="157"/>
      <c r="D210" s="3"/>
      <c r="E210" s="3"/>
      <c r="M210" s="160"/>
      <c r="N210" s="160"/>
      <c r="O210" s="160"/>
      <c r="P210" s="160"/>
      <c r="Q210" s="160"/>
      <c r="R210" s="160"/>
      <c r="S210" s="161"/>
      <c r="AD210" s="161"/>
      <c r="AQ210" s="161"/>
      <c r="AW210" s="168"/>
      <c r="AY210" s="183"/>
    </row>
    <row r="211" ht="15.75" customHeight="1">
      <c r="A211" s="156"/>
      <c r="B211" s="156"/>
      <c r="C211" s="157"/>
      <c r="D211" s="3"/>
      <c r="E211" s="3"/>
      <c r="M211" s="160"/>
      <c r="N211" s="160"/>
      <c r="O211" s="160"/>
      <c r="P211" s="160"/>
      <c r="Q211" s="160"/>
      <c r="R211" s="160"/>
      <c r="S211" s="161"/>
      <c r="AD211" s="161"/>
      <c r="AQ211" s="161"/>
      <c r="AW211" s="168"/>
      <c r="AY211" s="183"/>
    </row>
    <row r="212" ht="15.75" customHeight="1">
      <c r="A212" s="156"/>
      <c r="B212" s="156"/>
      <c r="C212" s="157"/>
      <c r="D212" s="3"/>
      <c r="E212" s="3"/>
      <c r="M212" s="160"/>
      <c r="N212" s="160"/>
      <c r="O212" s="160"/>
      <c r="P212" s="160"/>
      <c r="Q212" s="160"/>
      <c r="R212" s="160"/>
      <c r="S212" s="161"/>
      <c r="AD212" s="161"/>
      <c r="AQ212" s="161"/>
      <c r="AW212" s="168"/>
      <c r="AY212" s="183"/>
    </row>
    <row r="213" ht="15.75" customHeight="1">
      <c r="A213" s="156"/>
      <c r="B213" s="156"/>
      <c r="C213" s="157"/>
      <c r="D213" s="3"/>
      <c r="E213" s="3"/>
      <c r="M213" s="160"/>
      <c r="N213" s="160"/>
      <c r="O213" s="160"/>
      <c r="P213" s="160"/>
      <c r="Q213" s="160"/>
      <c r="R213" s="160"/>
      <c r="S213" s="161"/>
      <c r="AD213" s="161"/>
      <c r="AQ213" s="161"/>
      <c r="AW213" s="168"/>
      <c r="AY213" s="183"/>
    </row>
    <row r="214" ht="15.75" customHeight="1">
      <c r="A214" s="156"/>
      <c r="B214" s="156"/>
      <c r="C214" s="157"/>
      <c r="D214" s="3"/>
      <c r="E214" s="3"/>
      <c r="M214" s="160"/>
      <c r="N214" s="160"/>
      <c r="O214" s="160"/>
      <c r="P214" s="160"/>
      <c r="Q214" s="160"/>
      <c r="R214" s="160"/>
      <c r="S214" s="161"/>
      <c r="AD214" s="161"/>
      <c r="AQ214" s="161"/>
      <c r="AW214" s="168"/>
      <c r="AY214" s="183"/>
    </row>
    <row r="215" ht="15.75" customHeight="1">
      <c r="A215" s="156"/>
      <c r="B215" s="156"/>
      <c r="C215" s="157"/>
      <c r="D215" s="3"/>
      <c r="E215" s="3"/>
      <c r="M215" s="160"/>
      <c r="N215" s="160"/>
      <c r="O215" s="160"/>
      <c r="P215" s="160"/>
      <c r="Q215" s="160"/>
      <c r="R215" s="160"/>
      <c r="S215" s="161"/>
      <c r="AD215" s="161"/>
      <c r="AQ215" s="161"/>
      <c r="AW215" s="168"/>
      <c r="AY215" s="183"/>
    </row>
    <row r="216" ht="15.75" customHeight="1">
      <c r="A216" s="156"/>
      <c r="B216" s="156"/>
      <c r="C216" s="157"/>
      <c r="D216" s="3"/>
      <c r="E216" s="3"/>
      <c r="M216" s="160"/>
      <c r="N216" s="160"/>
      <c r="O216" s="160"/>
      <c r="P216" s="160"/>
      <c r="Q216" s="160"/>
      <c r="R216" s="160"/>
      <c r="S216" s="161"/>
      <c r="AD216" s="161"/>
      <c r="AQ216" s="161"/>
      <c r="AW216" s="168"/>
      <c r="AY216" s="183"/>
    </row>
    <row r="217" ht="15.75" customHeight="1">
      <c r="A217" s="156"/>
      <c r="B217" s="156"/>
      <c r="C217" s="157"/>
      <c r="D217" s="3"/>
      <c r="E217" s="3"/>
      <c r="M217" s="160"/>
      <c r="N217" s="160"/>
      <c r="O217" s="160"/>
      <c r="P217" s="160"/>
      <c r="Q217" s="160"/>
      <c r="R217" s="160"/>
      <c r="S217" s="161"/>
      <c r="AD217" s="161"/>
      <c r="AQ217" s="161"/>
      <c r="AW217" s="168"/>
      <c r="AY217" s="183"/>
    </row>
    <row r="218" ht="15.75" customHeight="1">
      <c r="A218" s="156"/>
      <c r="B218" s="156"/>
      <c r="C218" s="157"/>
      <c r="D218" s="3"/>
      <c r="E218" s="3"/>
      <c r="M218" s="160"/>
      <c r="N218" s="160"/>
      <c r="O218" s="160"/>
      <c r="P218" s="160"/>
      <c r="Q218" s="160"/>
      <c r="R218" s="160"/>
      <c r="S218" s="161"/>
      <c r="AD218" s="161"/>
      <c r="AQ218" s="161"/>
      <c r="AW218" s="168"/>
      <c r="AY218" s="183"/>
    </row>
    <row r="219" ht="15.75" customHeight="1">
      <c r="A219" s="156"/>
      <c r="B219" s="156"/>
      <c r="C219" s="157"/>
      <c r="D219" s="3"/>
      <c r="E219" s="3"/>
      <c r="M219" s="160"/>
      <c r="N219" s="160"/>
      <c r="O219" s="160"/>
      <c r="P219" s="160"/>
      <c r="Q219" s="160"/>
      <c r="R219" s="160"/>
      <c r="S219" s="161"/>
      <c r="AD219" s="161"/>
      <c r="AQ219" s="161"/>
      <c r="AW219" s="168"/>
      <c r="AY219" s="183"/>
    </row>
    <row r="220" ht="15.75" customHeight="1">
      <c r="A220" s="156"/>
      <c r="B220" s="156"/>
      <c r="C220" s="157"/>
      <c r="D220" s="3"/>
      <c r="E220" s="3"/>
      <c r="M220" s="160"/>
      <c r="N220" s="160"/>
      <c r="O220" s="160"/>
      <c r="P220" s="160"/>
      <c r="Q220" s="160"/>
      <c r="R220" s="160"/>
      <c r="S220" s="161"/>
      <c r="AD220" s="161"/>
      <c r="AQ220" s="161"/>
      <c r="AW220" s="168"/>
      <c r="AY220" s="183"/>
    </row>
    <row r="221" ht="15.75" customHeight="1">
      <c r="A221" s="156"/>
      <c r="B221" s="156"/>
      <c r="C221" s="157"/>
      <c r="D221" s="3"/>
      <c r="E221" s="3"/>
      <c r="M221" s="160"/>
      <c r="N221" s="160"/>
      <c r="O221" s="160"/>
      <c r="P221" s="160"/>
      <c r="Q221" s="160"/>
      <c r="R221" s="160"/>
      <c r="S221" s="161"/>
      <c r="AD221" s="161"/>
      <c r="AQ221" s="161"/>
      <c r="AW221" s="168"/>
      <c r="AY221" s="183"/>
    </row>
    <row r="222" ht="15.75" customHeight="1">
      <c r="A222" s="156"/>
      <c r="B222" s="156"/>
      <c r="C222" s="157"/>
      <c r="D222" s="3"/>
      <c r="E222" s="3"/>
      <c r="M222" s="160"/>
      <c r="N222" s="160"/>
      <c r="O222" s="160"/>
      <c r="P222" s="160"/>
      <c r="Q222" s="160"/>
      <c r="R222" s="160"/>
      <c r="S222" s="161"/>
      <c r="AD222" s="161"/>
      <c r="AQ222" s="161"/>
      <c r="AW222" s="168"/>
      <c r="AY222" s="183"/>
    </row>
    <row r="223" ht="15.75" customHeight="1">
      <c r="A223" s="156"/>
      <c r="B223" s="156"/>
      <c r="C223" s="157"/>
      <c r="D223" s="3"/>
      <c r="E223" s="3"/>
      <c r="M223" s="160"/>
      <c r="N223" s="160"/>
      <c r="O223" s="160"/>
      <c r="P223" s="160"/>
      <c r="Q223" s="160"/>
      <c r="R223" s="160"/>
      <c r="S223" s="161"/>
      <c r="AD223" s="161"/>
      <c r="AQ223" s="161"/>
      <c r="AW223" s="168"/>
      <c r="AY223" s="183"/>
    </row>
    <row r="224" ht="15.75" customHeight="1">
      <c r="A224" s="156"/>
      <c r="B224" s="156"/>
      <c r="C224" s="157"/>
      <c r="D224" s="3"/>
      <c r="E224" s="3"/>
      <c r="M224" s="160"/>
      <c r="N224" s="160"/>
      <c r="O224" s="160"/>
      <c r="P224" s="160"/>
      <c r="Q224" s="160"/>
      <c r="R224" s="160"/>
      <c r="S224" s="161"/>
      <c r="AD224" s="161"/>
      <c r="AQ224" s="161"/>
      <c r="AW224" s="168"/>
      <c r="AY224" s="183"/>
    </row>
    <row r="225" ht="15.75" customHeight="1">
      <c r="A225" s="156"/>
      <c r="B225" s="156"/>
      <c r="C225" s="157"/>
      <c r="D225" s="3"/>
      <c r="E225" s="3"/>
      <c r="M225" s="160"/>
      <c r="N225" s="160"/>
      <c r="O225" s="160"/>
      <c r="P225" s="160"/>
      <c r="Q225" s="160"/>
      <c r="R225" s="160"/>
      <c r="S225" s="161"/>
      <c r="AD225" s="161"/>
      <c r="AQ225" s="161"/>
      <c r="AW225" s="168"/>
      <c r="AY225" s="183"/>
    </row>
    <row r="226" ht="15.75" customHeight="1">
      <c r="A226" s="156"/>
      <c r="B226" s="156"/>
      <c r="C226" s="157"/>
      <c r="D226" s="3"/>
      <c r="E226" s="3"/>
      <c r="M226" s="160"/>
      <c r="N226" s="160"/>
      <c r="O226" s="160"/>
      <c r="P226" s="160"/>
      <c r="Q226" s="160"/>
      <c r="R226" s="160"/>
      <c r="S226" s="161"/>
      <c r="AD226" s="161"/>
      <c r="AQ226" s="161"/>
      <c r="AW226" s="168"/>
      <c r="AY226" s="183"/>
    </row>
    <row r="227" ht="15.75" customHeight="1">
      <c r="A227" s="156"/>
      <c r="B227" s="156"/>
      <c r="C227" s="157"/>
      <c r="D227" s="3"/>
      <c r="E227" s="3"/>
      <c r="M227" s="160"/>
      <c r="N227" s="160"/>
      <c r="O227" s="160"/>
      <c r="P227" s="160"/>
      <c r="Q227" s="160"/>
      <c r="R227" s="160"/>
      <c r="S227" s="161"/>
      <c r="AD227" s="161"/>
      <c r="AQ227" s="161"/>
      <c r="AW227" s="168"/>
      <c r="AY227" s="183"/>
    </row>
    <row r="228" ht="15.75" customHeight="1">
      <c r="A228" s="156"/>
      <c r="B228" s="156"/>
      <c r="C228" s="157"/>
      <c r="D228" s="3"/>
      <c r="E228" s="3"/>
      <c r="M228" s="160"/>
      <c r="N228" s="160"/>
      <c r="O228" s="160"/>
      <c r="P228" s="160"/>
      <c r="Q228" s="160"/>
      <c r="R228" s="160"/>
      <c r="S228" s="161"/>
      <c r="AD228" s="161"/>
      <c r="AQ228" s="161"/>
      <c r="AW228" s="168"/>
      <c r="AY228" s="183"/>
    </row>
    <row r="229" ht="15.75" customHeight="1">
      <c r="A229" s="156"/>
      <c r="B229" s="156"/>
      <c r="C229" s="157"/>
      <c r="D229" s="3"/>
      <c r="E229" s="3"/>
      <c r="M229" s="160"/>
      <c r="N229" s="160"/>
      <c r="O229" s="160"/>
      <c r="P229" s="160"/>
      <c r="Q229" s="160"/>
      <c r="R229" s="160"/>
      <c r="S229" s="161"/>
      <c r="AD229" s="161"/>
      <c r="AQ229" s="161"/>
      <c r="AW229" s="168"/>
      <c r="AY229" s="183"/>
    </row>
    <row r="230" ht="15.75" customHeight="1">
      <c r="A230" s="156"/>
      <c r="B230" s="156"/>
      <c r="C230" s="157"/>
      <c r="D230" s="3"/>
      <c r="E230" s="3"/>
      <c r="M230" s="160"/>
      <c r="N230" s="160"/>
      <c r="O230" s="160"/>
      <c r="P230" s="160"/>
      <c r="Q230" s="160"/>
      <c r="R230" s="160"/>
      <c r="S230" s="161"/>
      <c r="AD230" s="161"/>
      <c r="AQ230" s="161"/>
      <c r="AW230" s="168"/>
      <c r="AY230" s="183"/>
    </row>
    <row r="231" ht="15.75" customHeight="1">
      <c r="A231" s="156"/>
      <c r="B231" s="156"/>
      <c r="C231" s="157"/>
      <c r="D231" s="3"/>
      <c r="E231" s="3"/>
      <c r="M231" s="160"/>
      <c r="N231" s="160"/>
      <c r="O231" s="160"/>
      <c r="P231" s="160"/>
      <c r="Q231" s="160"/>
      <c r="R231" s="160"/>
      <c r="S231" s="161"/>
      <c r="AD231" s="161"/>
      <c r="AQ231" s="161"/>
      <c r="AW231" s="168"/>
      <c r="AY231" s="183"/>
    </row>
    <row r="232" ht="15.75" customHeight="1">
      <c r="A232" s="156"/>
      <c r="B232" s="156"/>
      <c r="C232" s="157"/>
      <c r="D232" s="3"/>
      <c r="E232" s="3"/>
      <c r="M232" s="160"/>
      <c r="N232" s="160"/>
      <c r="O232" s="160"/>
      <c r="P232" s="160"/>
      <c r="Q232" s="160"/>
      <c r="R232" s="160"/>
      <c r="S232" s="161"/>
      <c r="AD232" s="161"/>
      <c r="AQ232" s="161"/>
      <c r="AW232" s="168"/>
      <c r="AY232" s="183"/>
    </row>
    <row r="233" ht="15.75" customHeight="1">
      <c r="A233" s="156"/>
      <c r="B233" s="156"/>
      <c r="C233" s="157"/>
      <c r="D233" s="3"/>
      <c r="E233" s="3"/>
      <c r="M233" s="160"/>
      <c r="N233" s="160"/>
      <c r="O233" s="160"/>
      <c r="P233" s="160"/>
      <c r="Q233" s="160"/>
      <c r="R233" s="160"/>
      <c r="S233" s="161"/>
      <c r="AD233" s="161"/>
      <c r="AQ233" s="161"/>
      <c r="AW233" s="168"/>
      <c r="AY233" s="183"/>
    </row>
    <row r="234" ht="15.75" customHeight="1">
      <c r="A234" s="156"/>
      <c r="B234" s="156"/>
      <c r="C234" s="157"/>
      <c r="D234" s="3"/>
      <c r="E234" s="3"/>
      <c r="M234" s="160"/>
      <c r="N234" s="160"/>
      <c r="O234" s="160"/>
      <c r="P234" s="160"/>
      <c r="Q234" s="160"/>
      <c r="R234" s="160"/>
      <c r="S234" s="161"/>
      <c r="AD234" s="161"/>
      <c r="AQ234" s="161"/>
      <c r="AW234" s="168"/>
      <c r="AY234" s="183"/>
    </row>
    <row r="235" ht="15.75" customHeight="1">
      <c r="A235" s="156"/>
      <c r="B235" s="156"/>
      <c r="C235" s="157"/>
      <c r="D235" s="3"/>
      <c r="E235" s="3"/>
      <c r="M235" s="160"/>
      <c r="N235" s="160"/>
      <c r="O235" s="160"/>
      <c r="P235" s="160"/>
      <c r="Q235" s="160"/>
      <c r="R235" s="160"/>
      <c r="S235" s="161"/>
      <c r="AD235" s="161"/>
      <c r="AQ235" s="161"/>
      <c r="AW235" s="168"/>
      <c r="AY235" s="183"/>
    </row>
    <row r="236" ht="15.75" customHeight="1">
      <c r="A236" s="156"/>
      <c r="B236" s="156"/>
      <c r="C236" s="157"/>
      <c r="D236" s="3"/>
      <c r="E236" s="3"/>
      <c r="M236" s="160"/>
      <c r="N236" s="160"/>
      <c r="O236" s="160"/>
      <c r="P236" s="160"/>
      <c r="Q236" s="160"/>
      <c r="R236" s="160"/>
      <c r="S236" s="161"/>
      <c r="AD236" s="161"/>
      <c r="AQ236" s="161"/>
      <c r="AW236" s="168"/>
      <c r="AY236" s="183"/>
    </row>
    <row r="237" ht="15.75" customHeight="1">
      <c r="A237" s="156"/>
      <c r="B237" s="156"/>
      <c r="C237" s="157"/>
      <c r="D237" s="3"/>
      <c r="E237" s="3"/>
      <c r="M237" s="160"/>
      <c r="N237" s="160"/>
      <c r="O237" s="160"/>
      <c r="P237" s="160"/>
      <c r="Q237" s="160"/>
      <c r="R237" s="160"/>
      <c r="S237" s="161"/>
      <c r="AD237" s="161"/>
      <c r="AQ237" s="161"/>
      <c r="AW237" s="168"/>
      <c r="AY237" s="183"/>
    </row>
    <row r="238" ht="15.75" customHeight="1">
      <c r="A238" s="156"/>
      <c r="B238" s="156"/>
      <c r="C238" s="157"/>
      <c r="D238" s="3"/>
      <c r="E238" s="3"/>
      <c r="M238" s="160"/>
      <c r="N238" s="160"/>
      <c r="O238" s="160"/>
      <c r="P238" s="160"/>
      <c r="Q238" s="160"/>
      <c r="R238" s="160"/>
      <c r="S238" s="161"/>
      <c r="AD238" s="161"/>
      <c r="AQ238" s="161"/>
      <c r="AW238" s="168"/>
      <c r="AY238" s="183"/>
    </row>
    <row r="239" ht="15.75" customHeight="1">
      <c r="A239" s="156"/>
      <c r="B239" s="156"/>
      <c r="C239" s="157"/>
      <c r="D239" s="3"/>
      <c r="E239" s="3"/>
      <c r="M239" s="160"/>
      <c r="N239" s="160"/>
      <c r="O239" s="160"/>
      <c r="P239" s="160"/>
      <c r="Q239" s="160"/>
      <c r="R239" s="160"/>
      <c r="S239" s="161"/>
      <c r="AD239" s="161"/>
      <c r="AQ239" s="161"/>
      <c r="AW239" s="168"/>
      <c r="AY239" s="183"/>
    </row>
    <row r="240" ht="15.75" customHeight="1">
      <c r="A240" s="156"/>
      <c r="B240" s="156"/>
      <c r="C240" s="157"/>
      <c r="D240" s="3"/>
      <c r="E240" s="3"/>
      <c r="M240" s="160"/>
      <c r="N240" s="160"/>
      <c r="O240" s="160"/>
      <c r="P240" s="160"/>
      <c r="Q240" s="160"/>
      <c r="R240" s="160"/>
      <c r="S240" s="161"/>
      <c r="AD240" s="161"/>
      <c r="AQ240" s="161"/>
      <c r="AW240" s="168"/>
      <c r="AY240" s="183"/>
    </row>
    <row r="241" ht="15.75" customHeight="1">
      <c r="A241" s="156"/>
      <c r="B241" s="156"/>
      <c r="C241" s="157"/>
      <c r="D241" s="3"/>
      <c r="E241" s="3"/>
      <c r="M241" s="160"/>
      <c r="N241" s="160"/>
      <c r="O241" s="160"/>
      <c r="P241" s="160"/>
      <c r="Q241" s="160"/>
      <c r="R241" s="160"/>
      <c r="S241" s="161"/>
      <c r="AD241" s="161"/>
      <c r="AQ241" s="161"/>
      <c r="AW241" s="168"/>
      <c r="AY241" s="183"/>
    </row>
    <row r="242" ht="15.75" customHeight="1">
      <c r="A242" s="156"/>
      <c r="B242" s="156"/>
      <c r="C242" s="157"/>
      <c r="D242" s="3"/>
      <c r="E242" s="3"/>
      <c r="M242" s="160"/>
      <c r="N242" s="160"/>
      <c r="O242" s="160"/>
      <c r="P242" s="160"/>
      <c r="Q242" s="160"/>
      <c r="R242" s="160"/>
      <c r="S242" s="161"/>
      <c r="AD242" s="161"/>
      <c r="AQ242" s="161"/>
      <c r="AW242" s="168"/>
      <c r="AY242" s="183"/>
    </row>
    <row r="243" ht="15.75" customHeight="1">
      <c r="A243" s="156"/>
      <c r="B243" s="156"/>
      <c r="C243" s="157"/>
      <c r="D243" s="3"/>
      <c r="E243" s="3"/>
      <c r="M243" s="160"/>
      <c r="N243" s="160"/>
      <c r="O243" s="160"/>
      <c r="P243" s="160"/>
      <c r="Q243" s="160"/>
      <c r="R243" s="160"/>
      <c r="S243" s="161"/>
      <c r="AD243" s="161"/>
      <c r="AQ243" s="161"/>
      <c r="AW243" s="168"/>
      <c r="AY243" s="183"/>
    </row>
    <row r="244" ht="15.75" customHeight="1">
      <c r="A244" s="156"/>
      <c r="B244" s="156"/>
      <c r="C244" s="157"/>
      <c r="D244" s="3"/>
      <c r="E244" s="3"/>
      <c r="M244" s="160"/>
      <c r="N244" s="160"/>
      <c r="O244" s="160"/>
      <c r="P244" s="160"/>
      <c r="Q244" s="160"/>
      <c r="R244" s="160"/>
      <c r="S244" s="161"/>
      <c r="AD244" s="161"/>
      <c r="AQ244" s="161"/>
      <c r="AW244" s="168"/>
      <c r="AY244" s="183"/>
    </row>
    <row r="245" ht="15.75" customHeight="1">
      <c r="A245" s="156"/>
      <c r="B245" s="156"/>
      <c r="C245" s="157"/>
      <c r="D245" s="3"/>
      <c r="E245" s="3"/>
      <c r="M245" s="160"/>
      <c r="N245" s="160"/>
      <c r="O245" s="160"/>
      <c r="P245" s="160"/>
      <c r="Q245" s="160"/>
      <c r="R245" s="160"/>
      <c r="S245" s="161"/>
      <c r="AD245" s="161"/>
      <c r="AQ245" s="161"/>
      <c r="AW245" s="168"/>
      <c r="AY245" s="183"/>
    </row>
    <row r="246" ht="15.75" customHeight="1">
      <c r="A246" s="156"/>
      <c r="B246" s="156"/>
      <c r="C246" s="157"/>
      <c r="D246" s="3"/>
      <c r="E246" s="3"/>
      <c r="M246" s="160"/>
      <c r="N246" s="160"/>
      <c r="O246" s="160"/>
      <c r="P246" s="160"/>
      <c r="Q246" s="160"/>
      <c r="R246" s="160"/>
      <c r="S246" s="161"/>
      <c r="AD246" s="161"/>
      <c r="AQ246" s="161"/>
      <c r="AW246" s="168"/>
      <c r="AY246" s="183"/>
    </row>
    <row r="247" ht="15.75" customHeight="1">
      <c r="A247" s="156"/>
      <c r="B247" s="156"/>
      <c r="C247" s="157"/>
      <c r="D247" s="3"/>
      <c r="E247" s="3"/>
      <c r="M247" s="160"/>
      <c r="N247" s="160"/>
      <c r="O247" s="160"/>
      <c r="P247" s="160"/>
      <c r="Q247" s="160"/>
      <c r="R247" s="160"/>
      <c r="S247" s="161"/>
      <c r="AD247" s="161"/>
      <c r="AQ247" s="161"/>
      <c r="AW247" s="168"/>
      <c r="AY247" s="183"/>
    </row>
    <row r="248" ht="15.75" customHeight="1">
      <c r="A248" s="156"/>
      <c r="B248" s="156"/>
      <c r="C248" s="157"/>
      <c r="D248" s="3"/>
      <c r="E248" s="3"/>
      <c r="M248" s="160"/>
      <c r="N248" s="160"/>
      <c r="O248" s="160"/>
      <c r="P248" s="160"/>
      <c r="Q248" s="160"/>
      <c r="R248" s="160"/>
      <c r="S248" s="161"/>
      <c r="AD248" s="161"/>
      <c r="AQ248" s="161"/>
      <c r="AW248" s="168"/>
      <c r="AY248" s="183"/>
    </row>
    <row r="249" ht="15.75" customHeight="1">
      <c r="A249" s="156"/>
      <c r="B249" s="156"/>
      <c r="C249" s="157"/>
      <c r="D249" s="3"/>
      <c r="E249" s="3"/>
      <c r="M249" s="160"/>
      <c r="N249" s="160"/>
      <c r="O249" s="160"/>
      <c r="P249" s="160"/>
      <c r="Q249" s="160"/>
      <c r="R249" s="160"/>
      <c r="S249" s="161"/>
      <c r="AD249" s="161"/>
      <c r="AQ249" s="161"/>
      <c r="AW249" s="168"/>
      <c r="AY249" s="183"/>
    </row>
    <row r="250" ht="15.75" customHeight="1">
      <c r="A250" s="156"/>
      <c r="B250" s="156"/>
      <c r="C250" s="157"/>
      <c r="D250" s="3"/>
      <c r="E250" s="3"/>
      <c r="M250" s="160"/>
      <c r="N250" s="160"/>
      <c r="O250" s="160"/>
      <c r="P250" s="160"/>
      <c r="Q250" s="160"/>
      <c r="R250" s="160"/>
      <c r="S250" s="161"/>
      <c r="AD250" s="161"/>
      <c r="AQ250" s="161"/>
      <c r="AW250" s="168"/>
      <c r="AY250" s="183"/>
    </row>
    <row r="251" ht="15.75" customHeight="1">
      <c r="A251" s="156"/>
      <c r="B251" s="156"/>
      <c r="C251" s="157"/>
      <c r="D251" s="3"/>
      <c r="E251" s="3"/>
      <c r="M251" s="160"/>
      <c r="N251" s="160"/>
      <c r="O251" s="160"/>
      <c r="P251" s="160"/>
      <c r="Q251" s="160"/>
      <c r="R251" s="160"/>
      <c r="S251" s="161"/>
      <c r="AD251" s="161"/>
      <c r="AQ251" s="161"/>
      <c r="AW251" s="168"/>
      <c r="AY251" s="183"/>
    </row>
    <row r="252" ht="15.75" customHeight="1">
      <c r="A252" s="156"/>
      <c r="B252" s="156"/>
      <c r="C252" s="157"/>
      <c r="D252" s="3"/>
      <c r="E252" s="3"/>
      <c r="M252" s="160"/>
      <c r="N252" s="160"/>
      <c r="O252" s="160"/>
      <c r="P252" s="160"/>
      <c r="Q252" s="160"/>
      <c r="R252" s="160"/>
      <c r="S252" s="161"/>
      <c r="AD252" s="161"/>
      <c r="AQ252" s="161"/>
      <c r="AW252" s="168"/>
      <c r="AY252" s="183"/>
    </row>
    <row r="253" ht="15.75" customHeight="1">
      <c r="A253" s="156"/>
      <c r="B253" s="156"/>
      <c r="C253" s="157"/>
      <c r="D253" s="3"/>
      <c r="E253" s="3"/>
      <c r="M253" s="160"/>
      <c r="N253" s="160"/>
      <c r="O253" s="160"/>
      <c r="P253" s="160"/>
      <c r="Q253" s="160"/>
      <c r="R253" s="160"/>
      <c r="S253" s="161"/>
      <c r="AD253" s="161"/>
      <c r="AQ253" s="161"/>
      <c r="AW253" s="168"/>
      <c r="AY253" s="183"/>
    </row>
    <row r="254" ht="15.75" customHeight="1">
      <c r="A254" s="156"/>
      <c r="B254" s="156"/>
      <c r="C254" s="157"/>
      <c r="D254" s="3"/>
      <c r="E254" s="3"/>
      <c r="M254" s="160"/>
      <c r="N254" s="160"/>
      <c r="O254" s="160"/>
      <c r="P254" s="160"/>
      <c r="Q254" s="160"/>
      <c r="R254" s="160"/>
      <c r="S254" s="161"/>
      <c r="AD254" s="161"/>
      <c r="AQ254" s="161"/>
      <c r="AW254" s="168"/>
      <c r="AY254" s="183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T1:AB1"/>
    <mergeCell ref="AE1:AM1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104" t="s">
        <v>500</v>
      </c>
      <c r="C1" s="73" t="s">
        <v>501</v>
      </c>
      <c r="E1" s="73" t="s">
        <v>502</v>
      </c>
    </row>
    <row r="2">
      <c r="A2" s="166">
        <v>0.1</v>
      </c>
      <c r="C2" s="166">
        <v>0.0</v>
      </c>
      <c r="E2" s="166">
        <v>0.0</v>
      </c>
    </row>
    <row r="3">
      <c r="A3" s="166">
        <v>0.22</v>
      </c>
      <c r="C3" s="166">
        <v>0.01</v>
      </c>
      <c r="E3" s="166">
        <v>0.05</v>
      </c>
    </row>
    <row r="4">
      <c r="C4" s="166">
        <v>0.02</v>
      </c>
      <c r="E4" s="166">
        <v>0.1</v>
      </c>
    </row>
    <row r="5">
      <c r="C5" s="166">
        <v>0.03</v>
      </c>
      <c r="E5" s="166">
        <v>0.15</v>
      </c>
    </row>
    <row r="6">
      <c r="C6" s="166">
        <v>0.04</v>
      </c>
      <c r="E6" s="166">
        <v>0.2</v>
      </c>
    </row>
    <row r="7">
      <c r="C7" s="166">
        <v>0.05</v>
      </c>
      <c r="E7" s="166">
        <v>0.25</v>
      </c>
    </row>
    <row r="8">
      <c r="C8" s="166">
        <v>0.06</v>
      </c>
      <c r="E8" s="166">
        <v>0.3</v>
      </c>
    </row>
    <row r="9">
      <c r="C9" s="166">
        <v>0.07</v>
      </c>
      <c r="E9" s="166">
        <v>0.35</v>
      </c>
    </row>
    <row r="10">
      <c r="C10" s="166">
        <v>0.08</v>
      </c>
      <c r="E10" s="166">
        <v>0.4</v>
      </c>
    </row>
    <row r="11">
      <c r="E11" s="166">
        <v>0.45</v>
      </c>
    </row>
    <row r="12">
      <c r="E12" s="166">
        <v>0.5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BF8F"/>
    <pageSetUpPr/>
  </sheetPr>
  <sheetViews>
    <sheetView workbookViewId="0"/>
  </sheetViews>
  <sheetFormatPr customHeight="1" defaultColWidth="14.43" defaultRowHeight="15.0"/>
  <cols>
    <col customWidth="1" min="1" max="4" width="15.14"/>
    <col customWidth="1" hidden="1" min="5" max="5" width="7.71"/>
    <col customWidth="1" hidden="1" min="6" max="6" width="9.71"/>
    <col customWidth="1" min="7" max="7" width="15.14"/>
    <col customWidth="1" hidden="1" min="8" max="8" width="6.86"/>
    <col customWidth="1" min="9" max="9" width="15.14"/>
    <col customWidth="1" min="10" max="26" width="11.43"/>
  </cols>
  <sheetData>
    <row r="1">
      <c r="A1" s="184" t="s">
        <v>503</v>
      </c>
      <c r="B1" s="184" t="s">
        <v>504</v>
      </c>
      <c r="C1" s="184" t="s">
        <v>505</v>
      </c>
      <c r="D1" s="184" t="s">
        <v>506</v>
      </c>
      <c r="E1" s="184" t="s">
        <v>507</v>
      </c>
      <c r="F1" s="184" t="s">
        <v>508</v>
      </c>
      <c r="G1" s="184" t="s">
        <v>509</v>
      </c>
      <c r="H1" s="184"/>
      <c r="I1" s="184" t="s">
        <v>510</v>
      </c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</row>
    <row r="2">
      <c r="A2" s="73">
        <v>0.0</v>
      </c>
      <c r="B2" s="166">
        <v>0.22</v>
      </c>
      <c r="C2" s="178">
        <f>'Vehicle Assumptions'!B3/(1+'Vehicle Depreciation'!B2)</f>
        <v>55327.86885</v>
      </c>
      <c r="D2" s="178">
        <f>'Vehicle Assumptions'!B3-'Vehicle Depreciation'!C2</f>
        <v>12172.13115</v>
      </c>
      <c r="H2" s="88"/>
    </row>
    <row r="3">
      <c r="A3" s="73">
        <v>1.0</v>
      </c>
      <c r="B3" s="166">
        <v>0.2</v>
      </c>
      <c r="C3" s="178">
        <f t="shared" ref="C3:C12" si="1">C2*(1-B3)</f>
        <v>44262.29508</v>
      </c>
      <c r="D3" s="178">
        <f t="shared" ref="D3:D12" si="2">C3-C4</f>
        <v>8852.459016</v>
      </c>
      <c r="E3" s="185">
        <f>'Vehicle Assumptions'!B$8</f>
        <v>80000</v>
      </c>
      <c r="F3" s="185">
        <f>IF(E3&lt;='Vehicle Assumptions'!B$5,1,0)</f>
        <v>1</v>
      </c>
      <c r="G3" s="185">
        <f t="shared" ref="G3:G12" si="3">C3*F3</f>
        <v>44262.29508</v>
      </c>
      <c r="H3" s="88">
        <f>(D2+D3)/'Vehicle Assumptions'!B$8</f>
        <v>0.262807377</v>
      </c>
      <c r="I3" s="88">
        <f t="shared" ref="I3:I12" si="4">F3*H3</f>
        <v>0.262807377</v>
      </c>
    </row>
    <row r="4">
      <c r="A4" s="73">
        <v>2.0</v>
      </c>
      <c r="B4" s="166">
        <v>0.2</v>
      </c>
      <c r="C4" s="178">
        <f t="shared" si="1"/>
        <v>35409.83607</v>
      </c>
      <c r="D4" s="178">
        <f t="shared" si="2"/>
        <v>7081.967213</v>
      </c>
      <c r="E4" s="185">
        <f>E3+'Vehicle Assumptions'!B$8</f>
        <v>160000</v>
      </c>
      <c r="F4" s="185">
        <f>IF(E4&lt;='Vehicle Assumptions'!B$5,1,0)</f>
        <v>1</v>
      </c>
      <c r="G4" s="185">
        <f t="shared" si="3"/>
        <v>35409.83607</v>
      </c>
      <c r="H4" s="88">
        <f>(D4)/'Vehicle Assumptions'!B$8</f>
        <v>0.08852459016</v>
      </c>
      <c r="I4" s="88">
        <f t="shared" si="4"/>
        <v>0.08852459016</v>
      </c>
    </row>
    <row r="5">
      <c r="A5" s="73">
        <v>3.0</v>
      </c>
      <c r="B5" s="166">
        <v>0.2</v>
      </c>
      <c r="C5" s="178">
        <f t="shared" si="1"/>
        <v>28327.86885</v>
      </c>
      <c r="D5" s="178">
        <f t="shared" si="2"/>
        <v>5665.57377</v>
      </c>
      <c r="E5" s="185">
        <f>E4+'Vehicle Assumptions'!B$8</f>
        <v>240000</v>
      </c>
      <c r="F5" s="185">
        <f>IF(E5&lt;='Vehicle Assumptions'!B$5,1,0)</f>
        <v>1</v>
      </c>
      <c r="G5" s="185">
        <f t="shared" si="3"/>
        <v>28327.86885</v>
      </c>
      <c r="H5" s="88">
        <f>(D5)/'Vehicle Assumptions'!B$8</f>
        <v>0.07081967213</v>
      </c>
      <c r="I5" s="88">
        <f t="shared" si="4"/>
        <v>0.07081967213</v>
      </c>
    </row>
    <row r="6">
      <c r="A6" s="73">
        <v>4.0</v>
      </c>
      <c r="B6" s="166">
        <v>0.2</v>
      </c>
      <c r="C6" s="178">
        <f t="shared" si="1"/>
        <v>22662.29508</v>
      </c>
      <c r="D6" s="178">
        <f t="shared" si="2"/>
        <v>4532.459016</v>
      </c>
      <c r="E6" s="185">
        <f>E5+'Vehicle Assumptions'!B$8</f>
        <v>320000</v>
      </c>
      <c r="F6" s="185">
        <f>IF(E6&lt;='Vehicle Assumptions'!B$5,1,0)</f>
        <v>0</v>
      </c>
      <c r="G6" s="185">
        <f t="shared" si="3"/>
        <v>0</v>
      </c>
      <c r="H6" s="88">
        <f>(D6)/'Vehicle Assumptions'!B$8</f>
        <v>0.0566557377</v>
      </c>
      <c r="I6" s="88">
        <f t="shared" si="4"/>
        <v>0</v>
      </c>
    </row>
    <row r="7">
      <c r="A7" s="73">
        <v>5.0</v>
      </c>
      <c r="B7" s="166">
        <v>0.2</v>
      </c>
      <c r="C7" s="178">
        <f t="shared" si="1"/>
        <v>18129.83607</v>
      </c>
      <c r="D7" s="178">
        <f t="shared" si="2"/>
        <v>3625.967213</v>
      </c>
      <c r="E7" s="185">
        <f>E6+'Vehicle Assumptions'!B$8</f>
        <v>400000</v>
      </c>
      <c r="F7" s="185">
        <f>IF(E7&lt;='Vehicle Assumptions'!B$5,1,0)</f>
        <v>0</v>
      </c>
      <c r="G7" s="185">
        <f t="shared" si="3"/>
        <v>0</v>
      </c>
      <c r="H7" s="88">
        <f>(D7)/'Vehicle Assumptions'!B$8</f>
        <v>0.04532459016</v>
      </c>
      <c r="I7" s="88">
        <f t="shared" si="4"/>
        <v>0</v>
      </c>
    </row>
    <row r="8">
      <c r="A8" s="73">
        <v>6.0</v>
      </c>
      <c r="B8" s="166">
        <v>0.2</v>
      </c>
      <c r="C8" s="178">
        <f t="shared" si="1"/>
        <v>14503.86885</v>
      </c>
      <c r="D8" s="178">
        <f t="shared" si="2"/>
        <v>2900.77377</v>
      </c>
      <c r="E8" s="185">
        <f>E7+'Vehicle Assumptions'!B$8</f>
        <v>480000</v>
      </c>
      <c r="F8" s="185">
        <f>IF(E8&lt;='Vehicle Assumptions'!B$5,1,0)</f>
        <v>0</v>
      </c>
      <c r="G8" s="185">
        <f t="shared" si="3"/>
        <v>0</v>
      </c>
      <c r="H8" s="88">
        <f>(D8)/'Vehicle Assumptions'!B$8</f>
        <v>0.03625967213</v>
      </c>
      <c r="I8" s="88">
        <f t="shared" si="4"/>
        <v>0</v>
      </c>
    </row>
    <row r="9">
      <c r="A9" s="73">
        <v>7.0</v>
      </c>
      <c r="B9" s="166">
        <v>0.2</v>
      </c>
      <c r="C9" s="178">
        <f t="shared" si="1"/>
        <v>11603.09508</v>
      </c>
      <c r="D9" s="178">
        <f t="shared" si="2"/>
        <v>2320.619016</v>
      </c>
      <c r="E9" s="185">
        <f>E8+'Vehicle Assumptions'!B$8</f>
        <v>560000</v>
      </c>
      <c r="F9" s="185">
        <f>IF(E9&lt;='Vehicle Assumptions'!B$5,1,0)</f>
        <v>0</v>
      </c>
      <c r="G9" s="185">
        <f t="shared" si="3"/>
        <v>0</v>
      </c>
      <c r="H9" s="88">
        <f>(D9)/'Vehicle Assumptions'!B$8</f>
        <v>0.0290077377</v>
      </c>
      <c r="I9" s="88">
        <f t="shared" si="4"/>
        <v>0</v>
      </c>
    </row>
    <row r="10">
      <c r="A10" s="73">
        <v>8.0</v>
      </c>
      <c r="B10" s="166">
        <v>0.2</v>
      </c>
      <c r="C10" s="178">
        <f t="shared" si="1"/>
        <v>9282.476066</v>
      </c>
      <c r="D10" s="178">
        <f t="shared" si="2"/>
        <v>1856.495213</v>
      </c>
      <c r="E10" s="185">
        <f>E9+'Vehicle Assumptions'!B$8</f>
        <v>640000</v>
      </c>
      <c r="F10" s="185">
        <f>IF(E10&lt;='Vehicle Assumptions'!B$5,1,0)</f>
        <v>0</v>
      </c>
      <c r="G10" s="185">
        <f t="shared" si="3"/>
        <v>0</v>
      </c>
      <c r="H10" s="88">
        <f>(D10)/'Vehicle Assumptions'!B$8</f>
        <v>0.02320619016</v>
      </c>
      <c r="I10" s="88">
        <f t="shared" si="4"/>
        <v>0</v>
      </c>
    </row>
    <row r="11">
      <c r="A11" s="73">
        <v>9.0</v>
      </c>
      <c r="B11" s="166">
        <v>0.2</v>
      </c>
      <c r="C11" s="178">
        <f t="shared" si="1"/>
        <v>7425.980852</v>
      </c>
      <c r="D11" s="178">
        <f t="shared" si="2"/>
        <v>1485.19617</v>
      </c>
      <c r="E11" s="185">
        <f>E10+'Vehicle Assumptions'!B$8</f>
        <v>720000</v>
      </c>
      <c r="F11" s="185">
        <f>IF(E11&lt;='Vehicle Assumptions'!B$5,1,0)</f>
        <v>0</v>
      </c>
      <c r="G11" s="185">
        <f t="shared" si="3"/>
        <v>0</v>
      </c>
      <c r="H11" s="88">
        <f>(D11)/'Vehicle Assumptions'!B$8</f>
        <v>0.01856495213</v>
      </c>
      <c r="I11" s="88">
        <f t="shared" si="4"/>
        <v>0</v>
      </c>
    </row>
    <row r="12">
      <c r="A12" s="73">
        <v>10.0</v>
      </c>
      <c r="B12" s="166">
        <v>0.2</v>
      </c>
      <c r="C12" s="178">
        <f t="shared" si="1"/>
        <v>5940.784682</v>
      </c>
      <c r="D12" s="178">
        <f t="shared" si="2"/>
        <v>5940.784682</v>
      </c>
      <c r="E12" s="185">
        <f>E11+'Vehicle Assumptions'!B$8</f>
        <v>800000</v>
      </c>
      <c r="F12" s="185">
        <f>IF(E12&lt;='Vehicle Assumptions'!B$5,1,0)</f>
        <v>0</v>
      </c>
      <c r="G12" s="185">
        <f t="shared" si="3"/>
        <v>0</v>
      </c>
      <c r="H12" s="88">
        <f>(D12)/'Vehicle Assumptions'!B$8</f>
        <v>0.07425980852</v>
      </c>
      <c r="I12" s="88">
        <f t="shared" si="4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